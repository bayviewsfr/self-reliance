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Override PartName="/xl/featurePropertyBag/featurePropertyBag.xml" ContentType="application/vnd.ms-excel.featurepropertyba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5880" yWindow="2060" windowWidth="36560" windowHeight="19020" tabRatio="500" firstSheet="0" activeTab="0" autoFilterDateGrouping="1"/>
  </bookViews>
  <sheets>
    <sheet xmlns:r="http://schemas.openxmlformats.org/officeDocument/2006/relationships" name="PLAN" sheetId="1" state="visible" r:id="rId1"/>
    <sheet xmlns:r="http://schemas.openxmlformats.org/officeDocument/2006/relationships" name="SUMMARY" sheetId="2" state="visible" r:id="rId2"/>
    <sheet xmlns:r="http://schemas.openxmlformats.org/officeDocument/2006/relationships" name="INCOME" sheetId="3" state="visible" r:id="rId3"/>
    <sheet xmlns:r="http://schemas.openxmlformats.org/officeDocument/2006/relationships" name="EXPENSES" sheetId="4" state="visible" r:id="rId4"/>
    <sheet xmlns:r="http://schemas.openxmlformats.org/officeDocument/2006/relationships" name="DEBTS" sheetId="5" state="visible" r:id="rId5"/>
    <sheet xmlns:r="http://schemas.openxmlformats.org/officeDocument/2006/relationships" name="SUPPORT PLAN" sheetId="6" state="visible" r:id="rId6"/>
    <sheet xmlns:r="http://schemas.openxmlformats.org/officeDocument/2006/relationships" name="EXPENDITURE LOG" sheetId="7" state="visible" r:id="rId7"/>
    <sheet xmlns:r="http://schemas.openxmlformats.org/officeDocument/2006/relationships" name="EXPENDITURE SUMMARY" sheetId="8" state="visible" r:id="rId8"/>
    <sheet xmlns:r="http://schemas.openxmlformats.org/officeDocument/2006/relationships" name="NOTES" sheetId="9" state="visible" r:id="rId9"/>
    <sheet xmlns:r="http://schemas.openxmlformats.org/officeDocument/2006/relationships" name="LISTS" sheetId="10" state="visible" r:id="rId10"/>
  </sheets>
  <definedNames>
    <definedName name="_xlnm.Print_Area" localSheetId="5">'SUPPORT PLAN'!$A$1:$AJ$158</definedName>
    <definedName name="_xlnm._FilterDatabase" localSheetId="6" hidden="1">'EXPENDITURE LOG'!$A$4:$K$504</definedName>
  </definedNames>
  <calcPr calcId="191029" fullCalcOnLoad="1" iterateDelta="0.0001"/>
</workbook>
</file>

<file path=xl/styles.xml><?xml version="1.0" encoding="utf-8"?>
<styleSheet xmlns="http://schemas.openxmlformats.org/spreadsheetml/2006/main">
  <numFmts count="6">
    <numFmt numFmtId="164" formatCode="mm/dd/yyyy"/>
    <numFmt numFmtId="165" formatCode="\$#,##0.00;&quot;($&quot;#,##0.00\);\-"/>
    <numFmt numFmtId="166" formatCode="0.0%"/>
    <numFmt numFmtId="167" formatCode="mmm\ yyyy"/>
    <numFmt numFmtId="168" formatCode="0.0000"/>
    <numFmt numFmtId="169" formatCode="0.0"/>
  </numFmts>
  <fonts count="28">
    <font>
      <name val="Calibri"/>
      <charset val="1"/>
      <family val="2"/>
      <color theme="1"/>
      <sz val="11"/>
    </font>
    <font>
      <name val="Arial"/>
      <family val="2"/>
      <sz val="10"/>
    </font>
    <font>
      <name val="Arial"/>
      <family val="2"/>
      <b val="1"/>
      <color rgb="FFFFFFFF"/>
      <sz val="16"/>
    </font>
    <font>
      <name val="Arial"/>
      <family val="2"/>
      <i val="1"/>
      <color rgb="FF404040"/>
      <sz val="9"/>
    </font>
    <font>
      <name val="Arial"/>
      <family val="2"/>
      <b val="1"/>
      <color rgb="FFFFFFFF"/>
      <sz val="10"/>
    </font>
    <font>
      <name val="Arial"/>
      <family val="2"/>
      <b val="1"/>
      <sz val="10"/>
    </font>
    <font>
      <name val="Arial"/>
      <family val="2"/>
      <color rgb="FF0000FF"/>
      <sz val="10"/>
    </font>
    <font>
      <name val="Arial"/>
      <family val="2"/>
      <b val="1"/>
      <color rgb="FF1F3A5F"/>
      <sz val="10"/>
    </font>
    <font>
      <name val="Arial"/>
      <family val="2"/>
      <i val="1"/>
      <sz val="9"/>
    </font>
    <font>
      <name val="Arial"/>
      <family val="2"/>
      <i val="1"/>
      <color rgb="FF595959"/>
      <sz val="9"/>
    </font>
    <font>
      <name val="Arial"/>
      <family val="2"/>
      <sz val="10"/>
    </font>
    <font>
      <name val="Arial"/>
      <family val="2"/>
      <color rgb="FFA6A6A6"/>
      <sz val="8"/>
    </font>
    <font>
      <name val="Arial"/>
      <family val="2"/>
      <color rgb="FF0000FF"/>
      <sz val="9"/>
    </font>
    <font>
      <name val="Arial"/>
      <family val="2"/>
      <b val="1"/>
      <sz val="11"/>
    </font>
    <font>
      <name val="Arial"/>
      <family val="2"/>
      <b val="1"/>
      <color rgb="FF595959"/>
      <sz val="9"/>
    </font>
    <font>
      <name val="Arial"/>
      <family val="2"/>
      <color rgb="FF008000"/>
      <sz val="10"/>
    </font>
    <font>
      <name val="Arial"/>
      <family val="2"/>
      <color rgb="FF008000"/>
      <sz val="9"/>
    </font>
    <font>
      <name val="Arial"/>
      <family val="2"/>
      <color rgb="FF595959"/>
      <sz val="9"/>
    </font>
    <font>
      <name val="Arial"/>
      <family val="2"/>
      <b val="1"/>
      <color rgb="FF0000FF"/>
      <sz val="11"/>
    </font>
    <font>
      <name val="Arial"/>
      <family val="2"/>
      <i val="1"/>
      <sz val="10"/>
    </font>
    <font>
      <name val="Calibri"/>
      <charset val="1"/>
      <family val="2"/>
      <color theme="10"/>
      <sz val="11"/>
      <u val="single"/>
    </font>
    <font>
      <name val="Arial"/>
      <family val="2"/>
      <b val="1"/>
      <color rgb="FFFFFFFF"/>
      <sz val="10"/>
    </font>
    <font>
      <name val="Arial"/>
      <family val="2"/>
      <b val="1"/>
      <sz val="10"/>
    </font>
    <font>
      <name val="Arial"/>
      <family val="2"/>
      <i val="1"/>
      <sz val="9"/>
    </font>
    <font>
      <name val="Arial"/>
      <family val="2"/>
      <sz val="10"/>
    </font>
    <font>
      <name val="Arial"/>
      <family val="2"/>
      <b val="1"/>
      <sz val="11"/>
    </font>
    <font>
      <name val="Arial"/>
      <family val="2"/>
      <color rgb="FF008000"/>
      <sz val="10"/>
    </font>
    <font>
      <name val="Calibri"/>
      <charset val="1"/>
      <family val="2"/>
      <sz val="11"/>
    </font>
  </fonts>
  <fills count="13">
    <fill>
      <patternFill/>
    </fill>
    <fill>
      <patternFill patternType="gray125"/>
    </fill>
    <fill>
      <patternFill patternType="solid">
        <fgColor rgb="FF1F3A5F"/>
        <bgColor rgb="FF404040"/>
      </patternFill>
    </fill>
    <fill>
      <patternFill patternType="solid">
        <fgColor rgb="FFFFF9DB"/>
        <bgColor rgb="FFF2F2F2"/>
      </patternFill>
    </fill>
    <fill>
      <patternFill patternType="solid">
        <fgColor rgb="FFDCE6F1"/>
        <bgColor rgb="FFE2F4E8"/>
      </patternFill>
    </fill>
    <fill>
      <patternFill patternType="solid">
        <fgColor rgb="FFF2F2F2"/>
        <bgColor rgb="FFE2F4E8"/>
      </patternFill>
    </fill>
    <fill>
      <patternFill patternType="solid">
        <fgColor rgb="FF1F3A5F"/>
      </patternFill>
    </fill>
    <fill>
      <patternFill patternType="solid">
        <fgColor rgb="FF404040"/>
      </patternFill>
    </fill>
    <fill>
      <patternFill patternType="solid">
        <fgColor rgb="FFF2F2F2"/>
      </patternFill>
    </fill>
    <fill>
      <patternFill patternType="solid">
        <fgColor rgb="FFDCE6F1"/>
      </patternFill>
    </fill>
    <fill>
      <patternFill patternType="solid">
        <fgColor theme="3" tint="0.7999816888943144"/>
        <bgColor indexed="64"/>
      </patternFill>
    </fill>
    <fill>
      <patternFill patternType="solid">
        <fgColor theme="5" tint="0.7999816888943144"/>
        <bgColor indexed="64"/>
      </patternFill>
    </fill>
    <fill>
      <patternFill patternType="solid">
        <fgColor theme="6" tint="0.7999816888943144"/>
        <bgColor indexed="64"/>
      </patternFill>
    </fill>
  </fills>
  <borders count="33">
    <border>
      <left/>
      <right/>
      <top/>
      <bottom/>
      <diagonal/>
    </border>
    <border>
      <left style="thin">
        <color rgb="FFBFBFBF"/>
      </left>
      <right style="thin">
        <color rgb="FFBFBFBF"/>
      </right>
      <top style="thin">
        <color rgb="FFBFBFBF"/>
      </top>
      <bottom style="thin">
        <color rgb="FFBFBFBF"/>
      </bottom>
      <diagonal/>
    </border>
    <border>
      <left/>
      <right/>
      <top/>
      <bottom style="thin">
        <color auto="1"/>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medium">
        <color indexed="64"/>
      </left>
      <right style="medium">
        <color indexed="64"/>
      </right>
      <top style="medium">
        <color indexed="64"/>
      </top>
      <bottom style="medium">
        <color indexed="64"/>
      </bottom>
      <diagonal/>
    </border>
    <border>
      <left style="medium">
        <color indexed="64"/>
      </left>
      <right style="thin">
        <color rgb="FFBFBFBF"/>
      </right>
      <top style="medium">
        <color indexed="64"/>
      </top>
      <bottom style="thin">
        <color rgb="FFBFBFBF"/>
      </bottom>
      <diagonal/>
    </border>
    <border>
      <left style="thin">
        <color rgb="FFBFBFBF"/>
      </left>
      <right style="thin">
        <color rgb="FFBFBFBF"/>
      </right>
      <top style="medium">
        <color indexed="64"/>
      </top>
      <bottom style="thin">
        <color rgb="FFBFBFBF"/>
      </bottom>
      <diagonal/>
    </border>
    <border>
      <left style="thin">
        <color rgb="FFBFBFBF"/>
      </left>
      <right style="medium">
        <color indexed="64"/>
      </right>
      <top style="medium">
        <color indexed="64"/>
      </top>
      <bottom style="thin">
        <color rgb="FFBFBFBF"/>
      </bottom>
      <diagonal/>
    </border>
    <border>
      <left style="medium">
        <color indexed="64"/>
      </left>
      <right style="thin">
        <color rgb="FFBFBFBF"/>
      </right>
      <top style="thin">
        <color rgb="FFBFBFBF"/>
      </top>
      <bottom style="thin">
        <color rgb="FFBFBFBF"/>
      </bottom>
      <diagonal/>
    </border>
    <border>
      <left style="thin">
        <color rgb="FFBFBFBF"/>
      </left>
      <right style="medium">
        <color indexed="64"/>
      </right>
      <top style="thin">
        <color rgb="FFBFBFBF"/>
      </top>
      <bottom style="thin">
        <color rgb="FFBFBFBF"/>
      </bottom>
      <diagonal/>
    </border>
    <border>
      <left style="medium">
        <color indexed="64"/>
      </left>
      <right/>
      <top/>
      <bottom/>
      <diagonal/>
    </border>
    <border>
      <left/>
      <right style="medium">
        <color indexed="64"/>
      </right>
      <top/>
      <bottom/>
      <diagonal/>
    </border>
    <border>
      <left style="medium">
        <color indexed="64"/>
      </left>
      <right style="thin">
        <color rgb="FFBFBFBF"/>
      </right>
      <top style="thin">
        <color rgb="FFBFBFBF"/>
      </top>
      <bottom style="medium">
        <color indexed="64"/>
      </bottom>
      <diagonal/>
    </border>
    <border>
      <left style="thin">
        <color rgb="FFBFBFBF"/>
      </left>
      <right style="thin">
        <color rgb="FFBFBFBF"/>
      </right>
      <top style="thin">
        <color rgb="FFBFBFBF"/>
      </top>
      <bottom style="medium">
        <color indexed="64"/>
      </bottom>
      <diagonal/>
    </border>
    <border>
      <left style="thin">
        <color rgb="FFBFBFBF"/>
      </left>
      <right style="medium">
        <color indexed="64"/>
      </right>
      <top style="thin">
        <color rgb="FFBFBFBF"/>
      </top>
      <bottom style="medium">
        <color indexed="64"/>
      </bottom>
      <diagonal/>
    </border>
    <border>
      <left style="thin">
        <color rgb="FFBFBFBF"/>
      </left>
      <right/>
      <top style="medium">
        <color indexed="64"/>
      </top>
      <bottom style="thin">
        <color rgb="FFBFBFBF"/>
      </bottom>
      <diagonal/>
    </border>
    <border>
      <left style="thin">
        <color rgb="FFBFBFBF"/>
      </left>
      <right/>
      <top style="thin">
        <color rgb="FFBFBFBF"/>
      </top>
      <bottom style="medium">
        <color indexed="64"/>
      </bottom>
      <diagonal/>
    </border>
    <border>
      <left style="medium">
        <color indexed="64"/>
      </left>
      <right style="medium">
        <color indexed="64"/>
      </right>
      <top style="medium">
        <color indexed="64"/>
      </top>
      <bottom style="thin">
        <color rgb="FFBFBFBF"/>
      </bottom>
      <diagonal/>
    </border>
    <border>
      <left style="medium">
        <color indexed="64"/>
      </left>
      <right style="medium">
        <color indexed="64"/>
      </right>
      <top style="thin">
        <color rgb="FFBFBFBF"/>
      </top>
      <bottom style="thin">
        <color rgb="FFBFBFBF"/>
      </bottom>
      <diagonal/>
    </border>
    <border>
      <left style="medium">
        <color indexed="64"/>
      </left>
      <right style="medium">
        <color indexed="64"/>
      </right>
      <top/>
      <bottom/>
      <diagonal/>
    </border>
    <border>
      <left style="medium">
        <color indexed="64"/>
      </left>
      <right style="medium">
        <color indexed="64"/>
      </right>
      <top style="thin">
        <color rgb="FFBFBFBF"/>
      </top>
      <bottom style="medium">
        <color indexed="64"/>
      </bottom>
      <diagonal/>
    </border>
    <border>
      <left style="medium">
        <color indexed="64"/>
      </left>
      <right style="thin">
        <color rgb="FFBFBFBF"/>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rgb="FFBFBFBF"/>
      </top>
      <bottom/>
      <diagonal/>
    </border>
    <border>
      <left/>
      <right style="thin">
        <color rgb="FFBFBFBF"/>
      </right>
      <top style="thin">
        <color rgb="FFBFBFBF"/>
      </top>
      <bottom/>
      <diagonal/>
    </border>
    <border>
      <left/>
      <right/>
      <top style="medium">
        <color indexed="64"/>
      </top>
      <bottom/>
      <diagonal/>
    </border>
    <border>
      <left/>
      <right style="thin">
        <color rgb="FFBFBFBF"/>
      </right>
      <top style="medium">
        <color indexed="64"/>
      </top>
      <bottom/>
      <diagonal/>
    </border>
    <border>
      <left/>
      <right style="thin">
        <color rgb="FFBFBFBF"/>
      </right>
      <top style="medium">
        <color indexed="64"/>
      </top>
      <bottom style="medium">
        <color indexed="64"/>
      </bottom>
      <diagonal/>
    </border>
  </borders>
  <cellStyleXfs count="2">
    <xf numFmtId="0" fontId="0" fillId="0" borderId="0"/>
    <xf numFmtId="0" fontId="20" fillId="0" borderId="0"/>
  </cellStyleXfs>
  <cellXfs count="147">
    <xf numFmtId="0" fontId="0" fillId="0" borderId="0" pivotButton="0" quotePrefix="0" xfId="0"/>
    <xf numFmtId="0" fontId="13" fillId="0" borderId="0" pivotButton="0" quotePrefix="0" xfId="0"/>
    <xf numFmtId="0" fontId="5" fillId="0" borderId="0" pivotButton="0" quotePrefix="0" xfId="0"/>
    <xf numFmtId="0" fontId="5" fillId="0" borderId="0" applyAlignment="1" pivotButton="0" quotePrefix="0" xfId="0">
      <alignment horizontal="right"/>
    </xf>
    <xf numFmtId="0" fontId="7" fillId="4" borderId="1" pivotButton="0" quotePrefix="0" xfId="0"/>
    <xf numFmtId="0" fontId="0" fillId="0" borderId="2" pivotButton="0" quotePrefix="0" xfId="0"/>
    <xf numFmtId="0" fontId="5" fillId="4" borderId="1" pivotButton="0" quotePrefix="0" xfId="0"/>
    <xf numFmtId="0" fontId="6" fillId="3" borderId="1" applyAlignment="1" pivotButton="0" quotePrefix="0" xfId="0">
      <alignment vertical="top" wrapText="1"/>
    </xf>
    <xf numFmtId="0" fontId="5" fillId="0" borderId="0" applyAlignment="1" pivotButton="0" quotePrefix="0" xfId="0">
      <alignment vertical="top" wrapText="1"/>
    </xf>
    <xf numFmtId="0" fontId="7" fillId="0" borderId="0" pivotButton="0" quotePrefix="0" xfId="0"/>
    <xf numFmtId="0" fontId="6" fillId="3" borderId="1" pivotButton="0" quotePrefix="0" xfId="0"/>
    <xf numFmtId="0" fontId="8" fillId="0" borderId="0" pivotButton="0" quotePrefix="0" xfId="0"/>
    <xf numFmtId="164" fontId="6" fillId="3" borderId="1" pivotButton="0" quotePrefix="0" xfId="0"/>
    <xf numFmtId="0" fontId="4" fillId="2" borderId="1" applyAlignment="1" pivotButton="0" quotePrefix="0" xfId="0">
      <alignment horizontal="center" vertical="center" wrapText="1"/>
    </xf>
    <xf numFmtId="0" fontId="5" fillId="0" borderId="1" pivotButton="0" quotePrefix="0" xfId="0"/>
    <xf numFmtId="165" fontId="5" fillId="0" borderId="1" pivotButton="0" quotePrefix="0" xfId="0"/>
    <xf numFmtId="0" fontId="9" fillId="0" borderId="0" pivotButton="0" quotePrefix="0" xfId="0"/>
    <xf numFmtId="0" fontId="10" fillId="0" borderId="1" pivotButton="0" quotePrefix="0" xfId="0"/>
    <xf numFmtId="165" fontId="10" fillId="0" borderId="1" pivotButton="0" quotePrefix="0" xfId="0"/>
    <xf numFmtId="166" fontId="10" fillId="0" borderId="1" pivotButton="0" quotePrefix="0" xfId="0"/>
    <xf numFmtId="2" fontId="10" fillId="0" borderId="1" pivotButton="0" quotePrefix="0" xfId="0"/>
    <xf numFmtId="166" fontId="5" fillId="0" borderId="1" pivotButton="0" quotePrefix="0" xfId="0"/>
    <xf numFmtId="0" fontId="10" fillId="0" borderId="0" pivotButton="0" quotePrefix="0" xfId="0"/>
    <xf numFmtId="0" fontId="0" fillId="4" borderId="1" pivotButton="0" quotePrefix="0" xfId="0"/>
    <xf numFmtId="165" fontId="5" fillId="4" borderId="1" pivotButton="0" quotePrefix="0" xfId="0"/>
    <xf numFmtId="0" fontId="11" fillId="0" borderId="1" pivotButton="0" quotePrefix="0" xfId="0"/>
    <xf numFmtId="165" fontId="6" fillId="3" borderId="1" pivotButton="0" quotePrefix="0" xfId="0"/>
    <xf numFmtId="165" fontId="10" fillId="5" borderId="1" pivotButton="0" quotePrefix="0" xfId="0"/>
    <xf numFmtId="0" fontId="12" fillId="3" borderId="1" pivotButton="0" quotePrefix="0" xfId="0"/>
    <xf numFmtId="0" fontId="6" fillId="3" borderId="1" applyAlignment="1" pivotButton="0" quotePrefix="0" xfId="0">
      <alignment wrapText="1"/>
    </xf>
    <xf numFmtId="0" fontId="14" fillId="0" borderId="1" applyAlignment="1" pivotButton="0" quotePrefix="0" xfId="0">
      <alignment horizontal="center"/>
    </xf>
    <xf numFmtId="165" fontId="15" fillId="0" borderId="1" pivotButton="0" quotePrefix="0" xfId="0"/>
    <xf numFmtId="166" fontId="6" fillId="3" borderId="1" pivotButton="0" quotePrefix="0" xfId="0"/>
    <xf numFmtId="1" fontId="6" fillId="3" borderId="1" pivotButton="0" quotePrefix="0" xfId="0"/>
    <xf numFmtId="167" fontId="6" fillId="3" borderId="1" pivotButton="0" quotePrefix="0" xfId="0"/>
    <xf numFmtId="0" fontId="16" fillId="0" borderId="1" applyAlignment="1" pivotButton="0" quotePrefix="0" xfId="0">
      <alignment horizontal="center"/>
    </xf>
    <xf numFmtId="0" fontId="15" fillId="0" borderId="1" pivotButton="0" quotePrefix="0" xfId="0"/>
    <xf numFmtId="165" fontId="15" fillId="5" borderId="1" pivotButton="0" quotePrefix="0" xfId="0"/>
    <xf numFmtId="0" fontId="17" fillId="5" borderId="1" applyAlignment="1" pivotButton="0" quotePrefix="0" xfId="0">
      <alignment horizontal="center"/>
    </xf>
    <xf numFmtId="0" fontId="17" fillId="5" borderId="1" pivotButton="0" quotePrefix="0" xfId="0"/>
    <xf numFmtId="1" fontId="5" fillId="0" borderId="1" pivotButton="0" quotePrefix="0" xfId="0"/>
    <xf numFmtId="167" fontId="18" fillId="3" borderId="1" pivotButton="0" quotePrefix="0" xfId="0"/>
    <xf numFmtId="167" fontId="15" fillId="0" borderId="1" pivotButton="0" quotePrefix="0" xfId="0"/>
    <xf numFmtId="168" fontId="0" fillId="0" borderId="0" pivotButton="0" quotePrefix="0" xfId="0"/>
    <xf numFmtId="167" fontId="0" fillId="0" borderId="0" pivotButton="0" quotePrefix="0" xfId="0"/>
    <xf numFmtId="0" fontId="0" fillId="0" borderId="0" applyAlignment="1" pivotButton="0" quotePrefix="0" xfId="0">
      <alignment wrapText="1"/>
    </xf>
    <xf numFmtId="0" fontId="6" fillId="3" borderId="1" applyAlignment="1" pivotButton="0" quotePrefix="0" xfId="0">
      <alignment vertical="top"/>
    </xf>
    <xf numFmtId="0" fontId="6" fillId="3" borderId="1" applyAlignment="1" pivotButton="0" quotePrefix="0" xfId="0">
      <alignment horizontal="center" vertical="top"/>
    </xf>
    <xf numFmtId="0" fontId="0" fillId="4" borderId="1" applyAlignment="1" pivotButton="0" quotePrefix="0" xfId="0">
      <alignment horizontal="center"/>
    </xf>
    <xf numFmtId="0" fontId="6" fillId="3" borderId="1" applyAlignment="1" pivotButton="0" quotePrefix="0" xfId="0">
      <alignment horizontal="center"/>
    </xf>
    <xf numFmtId="0" fontId="0" fillId="0" borderId="0" applyAlignment="1" pivotButton="0" quotePrefix="0" xfId="0">
      <alignment horizontal="center"/>
    </xf>
    <xf numFmtId="164" fontId="6" fillId="3" borderId="1" applyAlignment="1" pivotButton="0" quotePrefix="0" xfId="0">
      <alignment horizontal="left" vertical="top" wrapText="1"/>
    </xf>
    <xf numFmtId="0" fontId="1" fillId="0" borderId="1" pivotButton="0" quotePrefix="0" xfId="0"/>
    <xf numFmtId="165" fontId="5" fillId="0" borderId="0" pivotButton="0" quotePrefix="0" xfId="0"/>
    <xf numFmtId="14" fontId="6" fillId="3" borderId="1" applyAlignment="1" pivotButton="0" quotePrefix="0" xfId="0">
      <alignment horizontal="center"/>
    </xf>
    <xf numFmtId="169" fontId="10" fillId="0" borderId="1" pivotButton="0" quotePrefix="0" xfId="0"/>
    <xf numFmtId="0" fontId="21" fillId="6" borderId="6" applyAlignment="1" pivotButton="0" quotePrefix="0" xfId="0">
      <alignment horizontal="center" vertical="center" wrapText="1"/>
    </xf>
    <xf numFmtId="9" fontId="6" fillId="3" borderId="1" pivotButton="0" quotePrefix="0" xfId="0"/>
    <xf numFmtId="0" fontId="22" fillId="0" borderId="0" pivotButton="0" quotePrefix="0" xfId="0"/>
    <xf numFmtId="169" fontId="22" fillId="0" borderId="6" pivotButton="0" quotePrefix="0" xfId="0"/>
    <xf numFmtId="0" fontId="23" fillId="0" borderId="0" pivotButton="0" quotePrefix="0" xfId="0"/>
    <xf numFmtId="0" fontId="21" fillId="7" borderId="6" applyAlignment="1" pivotButton="0" quotePrefix="0" xfId="0">
      <alignment horizontal="center" vertical="center" wrapText="1"/>
    </xf>
    <xf numFmtId="165" fontId="24" fillId="8" borderId="6" pivotButton="0" quotePrefix="0" xfId="0"/>
    <xf numFmtId="165" fontId="22" fillId="0" borderId="6" pivotButton="0" quotePrefix="0" xfId="0"/>
    <xf numFmtId="165" fontId="22" fillId="9" borderId="6" pivotButton="0" quotePrefix="0" xfId="0"/>
    <xf numFmtId="165" fontId="26" fillId="0" borderId="6" pivotButton="0" quotePrefix="0" xfId="0"/>
    <xf numFmtId="165" fontId="24" fillId="0" borderId="6" pivotButton="0" quotePrefix="0" xfId="0"/>
    <xf numFmtId="9" fontId="22" fillId="0" borderId="6" pivotButton="0" quotePrefix="0" xfId="0"/>
    <xf numFmtId="0" fontId="6" fillId="3" borderId="1" pivotButton="0" quotePrefix="0" xfId="0"/>
    <xf numFmtId="165" fontId="5" fillId="4" borderId="3" pivotButton="0" quotePrefix="0" xfId="0"/>
    <xf numFmtId="0" fontId="6" fillId="3" borderId="3" pivotButton="0" quotePrefix="0" xfId="0"/>
    <xf numFmtId="165" fontId="5" fillId="4" borderId="7" pivotButton="0" quotePrefix="0" xfId="0"/>
    <xf numFmtId="165" fontId="22" fillId="9" borderId="7" pivotButton="0" quotePrefix="0" xfId="0"/>
    <xf numFmtId="165" fontId="5" fillId="4" borderId="9" pivotButton="0" quotePrefix="0" xfId="0"/>
    <xf numFmtId="165" fontId="5" fillId="4" borderId="10" pivotButton="0" quotePrefix="0" xfId="0"/>
    <xf numFmtId="165" fontId="5" fillId="4" borderId="11" pivotButton="0" quotePrefix="0" xfId="0"/>
    <xf numFmtId="165" fontId="6" fillId="3" borderId="12" pivotButton="0" quotePrefix="0" xfId="0"/>
    <xf numFmtId="165" fontId="6" fillId="3" borderId="6" pivotButton="0" quotePrefix="0" xfId="0"/>
    <xf numFmtId="165" fontId="5" fillId="4" borderId="12" pivotButton="0" quotePrefix="0" xfId="0"/>
    <xf numFmtId="165" fontId="5" fillId="4" borderId="6" pivotButton="0" quotePrefix="0" xfId="0"/>
    <xf numFmtId="165" fontId="5" fillId="4" borderId="13" pivotButton="0" quotePrefix="0" xfId="0"/>
    <xf numFmtId="0" fontId="0" fillId="0" borderId="14" pivotButton="0" quotePrefix="0" xfId="0"/>
    <xf numFmtId="0" fontId="0" fillId="0" borderId="15" pivotButton="0" quotePrefix="0" xfId="0"/>
    <xf numFmtId="165" fontId="22" fillId="9" borderId="16" pivotButton="0" quotePrefix="0" xfId="0"/>
    <xf numFmtId="165" fontId="22" fillId="9" borderId="17" pivotButton="0" quotePrefix="0" xfId="0"/>
    <xf numFmtId="165" fontId="22" fillId="9" borderId="18" pivotButton="0" quotePrefix="0" xfId="0"/>
    <xf numFmtId="165" fontId="5" fillId="4" borderId="19" pivotButton="0" quotePrefix="0" xfId="0"/>
    <xf numFmtId="165" fontId="6" fillId="3" borderId="3" pivotButton="0" quotePrefix="0" xfId="0"/>
    <xf numFmtId="165" fontId="22" fillId="9" borderId="20" pivotButton="0" quotePrefix="0" xfId="0"/>
    <xf numFmtId="165" fontId="5" fillId="4" borderId="21" pivotButton="0" quotePrefix="0" xfId="0"/>
    <xf numFmtId="165" fontId="5" fillId="0" borderId="22" pivotButton="0" quotePrefix="0" xfId="0"/>
    <xf numFmtId="165" fontId="5" fillId="4" borderId="22" pivotButton="0" quotePrefix="0" xfId="0"/>
    <xf numFmtId="0" fontId="0" fillId="0" borderId="23" pivotButton="0" quotePrefix="0" xfId="0"/>
    <xf numFmtId="165" fontId="22" fillId="9" borderId="24" pivotButton="0" quotePrefix="0" xfId="0"/>
    <xf numFmtId="0" fontId="21" fillId="6" borderId="3" applyAlignment="1" pivotButton="0" quotePrefix="0" xfId="0">
      <alignment horizontal="center" vertical="center" wrapText="1"/>
    </xf>
    <xf numFmtId="0" fontId="5" fillId="10" borderId="8" applyAlignment="1" pivotButton="0" quotePrefix="0" xfId="0">
      <alignment horizontal="center" vertical="center" wrapText="1"/>
    </xf>
    <xf numFmtId="0" fontId="5" fillId="11" borderId="8" applyAlignment="1" pivotButton="0" quotePrefix="0" xfId="0">
      <alignment horizontal="center" vertical="center" wrapText="1"/>
    </xf>
    <xf numFmtId="0" fontId="21" fillId="7" borderId="7" applyAlignment="1" pivotButton="0" quotePrefix="0" xfId="0">
      <alignment horizontal="center" vertical="center" wrapText="1"/>
    </xf>
    <xf numFmtId="0" fontId="5" fillId="12" borderId="8" applyAlignment="1" pivotButton="0" quotePrefix="0" xfId="0">
      <alignment horizontal="center" vertical="center" wrapText="1"/>
    </xf>
    <xf numFmtId="165" fontId="6" fillId="3" borderId="13" pivotButton="0" quotePrefix="0" xfId="0"/>
    <xf numFmtId="165" fontId="24" fillId="8" borderId="7" pivotButton="0" quotePrefix="0" xfId="0"/>
    <xf numFmtId="0" fontId="0" fillId="0" borderId="2" pivotButton="0" quotePrefix="0" xfId="0"/>
    <xf numFmtId="0" fontId="20" fillId="3" borderId="1" applyAlignment="1" pivotButton="0" quotePrefix="0" xfId="1">
      <alignment horizontal="left" vertical="top" wrapText="1"/>
    </xf>
    <xf numFmtId="0" fontId="0" fillId="0" borderId="4" pivotButton="0" quotePrefix="0" xfId="0"/>
    <xf numFmtId="0" fontId="0" fillId="0" borderId="5" pivotButton="0" quotePrefix="0" xfId="0"/>
    <xf numFmtId="0" fontId="6" fillId="3" borderId="1" applyAlignment="1" pivotButton="0" quotePrefix="0" xfId="0">
      <alignment vertical="top" wrapText="1"/>
    </xf>
    <xf numFmtId="0" fontId="2" fillId="2" borderId="0" applyAlignment="1" pivotButton="0" quotePrefix="0" xfId="0">
      <alignment vertical="center" indent="1"/>
    </xf>
    <xf numFmtId="0" fontId="0" fillId="0" borderId="0" pivotButton="0" quotePrefix="0" xfId="0"/>
    <xf numFmtId="0" fontId="6" fillId="3" borderId="1" applyAlignment="1" pivotButton="0" quotePrefix="0" xfId="0">
      <alignment horizontal="left" vertical="top" wrapText="1"/>
    </xf>
    <xf numFmtId="0" fontId="6" fillId="3" borderId="1" applyAlignment="1" pivotButton="0" quotePrefix="0" xfId="0">
      <alignment horizontal="left" vertical="top"/>
    </xf>
    <xf numFmtId="0" fontId="5" fillId="4" borderId="1" pivotButton="0" quotePrefix="0" xfId="0"/>
    <xf numFmtId="0" fontId="3" fillId="0" borderId="0" applyAlignment="1" pivotButton="0" quotePrefix="0" xfId="0">
      <alignment vertical="top" wrapText="1" indent="1"/>
    </xf>
    <xf numFmtId="0" fontId="4" fillId="2" borderId="0" applyAlignment="1" pivotButton="0" quotePrefix="0" xfId="0">
      <alignment indent="1"/>
    </xf>
    <xf numFmtId="0" fontId="7" fillId="4" borderId="1" pivotButton="0" quotePrefix="0" xfId="0"/>
    <xf numFmtId="0" fontId="0" fillId="0" borderId="0" applyAlignment="1" pivotButton="0" quotePrefix="0" xfId="0">
      <alignment horizontal="center"/>
    </xf>
    <xf numFmtId="0" fontId="24" fillId="0" borderId="6" applyAlignment="1" pivotButton="0" quotePrefix="0" xfId="0">
      <alignment indent="1"/>
    </xf>
    <xf numFmtId="0" fontId="13" fillId="11" borderId="25" applyAlignment="1" pivotButton="0" quotePrefix="0" xfId="0">
      <alignment horizontal="center" vertical="center" wrapText="1"/>
    </xf>
    <xf numFmtId="0" fontId="27" fillId="11" borderId="26" pivotButton="0" quotePrefix="0" xfId="0"/>
    <xf numFmtId="0" fontId="27" fillId="11" borderId="27" pivotButton="0" quotePrefix="0" xfId="0"/>
    <xf numFmtId="0" fontId="21" fillId="6" borderId="6" applyAlignment="1" pivotButton="0" quotePrefix="0" xfId="0">
      <alignment horizontal="center" vertical="center" wrapText="1"/>
    </xf>
    <xf numFmtId="0" fontId="0" fillId="0" borderId="7" pivotButton="0" quotePrefix="0" xfId="0"/>
    <xf numFmtId="0" fontId="24" fillId="0" borderId="6" pivotButton="0" quotePrefix="0" xfId="0"/>
    <xf numFmtId="0" fontId="22" fillId="0" borderId="6" pivotButton="0" quotePrefix="0" xfId="0"/>
    <xf numFmtId="0" fontId="22" fillId="9" borderId="6" pivotButton="0" quotePrefix="0" xfId="0"/>
    <xf numFmtId="0" fontId="13" fillId="10" borderId="25" applyAlignment="1" pivotButton="0" quotePrefix="0" xfId="0">
      <alignment horizontal="center" vertical="center" wrapText="1"/>
    </xf>
    <xf numFmtId="0" fontId="27" fillId="10" borderId="26" pivotButton="0" quotePrefix="0" xfId="0"/>
    <xf numFmtId="0" fontId="27" fillId="10" borderId="27" pivotButton="0" quotePrefix="0" xfId="0"/>
    <xf numFmtId="0" fontId="21" fillId="7" borderId="7" applyAlignment="1" pivotButton="0" quotePrefix="0" xfId="0">
      <alignment horizontal="center" vertical="center" wrapText="1"/>
    </xf>
    <xf numFmtId="0" fontId="22" fillId="0" borderId="0" pivotButton="0" quotePrefix="0" xfId="0"/>
    <xf numFmtId="0" fontId="13" fillId="12" borderId="25" applyAlignment="1" pivotButton="0" quotePrefix="0" xfId="0">
      <alignment horizontal="center" vertical="center" wrapText="1"/>
    </xf>
    <xf numFmtId="0" fontId="27" fillId="12" borderId="26" pivotButton="0" quotePrefix="0" xfId="0"/>
    <xf numFmtId="0" fontId="27" fillId="12" borderId="27" pivotButton="0" quotePrefix="0" xfId="0"/>
    <xf numFmtId="0" fontId="5" fillId="0" borderId="0" applyAlignment="1" pivotButton="0" quotePrefix="0" xfId="0">
      <alignment horizontal="right"/>
    </xf>
    <xf numFmtId="0" fontId="25" fillId="0" borderId="0" pivotButton="0" quotePrefix="0" xfId="0"/>
    <xf numFmtId="0" fontId="21" fillId="6" borderId="0" applyAlignment="1" pivotButton="0" quotePrefix="0" xfId="0">
      <alignment vertical="center" indent="1"/>
    </xf>
    <xf numFmtId="0" fontId="13" fillId="0" borderId="0" applyAlignment="1" pivotButton="0" quotePrefix="0" xfId="0">
      <alignment horizontal="right"/>
    </xf>
    <xf numFmtId="0" fontId="13" fillId="0" borderId="0" pivotButton="0" quotePrefix="0" xfId="0"/>
    <xf numFmtId="0" fontId="19" fillId="0" borderId="0" pivotButton="0" quotePrefix="0" xfId="0"/>
    <xf numFmtId="0" fontId="6" fillId="3" borderId="6" applyAlignment="1" pivotButton="0" quotePrefix="0" xfId="0">
      <alignment horizontal="left" vertical="top" wrapText="1"/>
    </xf>
    <xf numFmtId="0" fontId="20" fillId="3" borderId="6" applyAlignment="1" pivotButton="0" quotePrefix="0" xfId="1">
      <alignment horizontal="left" vertical="top" wrapText="1"/>
    </xf>
    <xf numFmtId="0" fontId="6" fillId="3" borderId="6" applyAlignment="1" pivotButton="0" quotePrefix="0" xfId="0">
      <alignment vertical="top" wrapText="1"/>
    </xf>
    <xf numFmtId="0" fontId="5" fillId="4" borderId="6" pivotButton="0" quotePrefix="0" xfId="0"/>
    <xf numFmtId="0" fontId="6" fillId="3" borderId="6" applyAlignment="1" pivotButton="0" quotePrefix="0" xfId="0">
      <alignment horizontal="left" vertical="top"/>
    </xf>
    <xf numFmtId="0" fontId="7" fillId="4" borderId="6" pivotButton="0" quotePrefix="0" xfId="0"/>
    <xf numFmtId="0" fontId="0" fillId="0" borderId="26" pivotButton="0" quotePrefix="0" xfId="0"/>
    <xf numFmtId="0" fontId="0" fillId="0" borderId="32" pivotButton="0" quotePrefix="0" xfId="0"/>
    <xf numFmtId="0" fontId="6" fillId="3" borderId="1" pivotButton="0" quotePrefix="0" xfId="0">
      <extLst>
        <ext xmlns:xfpb="http://schemas.microsoft.com/office/spreadsheetml/2022/featurepropertybag" uri="{C7286773-470A-42A8-94C5-96B5CB345126}">
          <xfpb:xfComplement i="0"/>
        </ext>
      </extLst>
    </xf>
  </cellXfs>
  <cellStyles count="2">
    <cellStyle name="Normal" xfId="0" builtinId="0"/>
    <cellStyle name="Hyperlink" xfId="1" builtinId="8"/>
  </cellStyles>
  <dxfs count="25">
    <dxf>
      <font>
        <name val="Arial"/>
        <charset val="1"/>
        <b val="1"/>
        <color rgb="FF007A33"/>
      </font>
    </dxf>
    <dxf>
      <font>
        <name val="Arial"/>
        <charset val="1"/>
        <b val="1"/>
        <color rgb="FFC00000"/>
      </font>
      <fill>
        <patternFill>
          <bgColor rgb="FFFDE2E2"/>
        </patternFill>
      </fill>
    </dxf>
    <dxf>
      <font>
        <name val="Arial"/>
        <charset val="1"/>
        <b val="1"/>
        <color rgb="FF007A33"/>
      </font>
    </dxf>
    <dxf>
      <font>
        <name val="Arial"/>
        <charset val="1"/>
        <b val="1"/>
        <color rgb="FFC00000"/>
      </font>
      <fill>
        <patternFill>
          <bgColor rgb="FFFDE2E2"/>
        </patternFill>
      </fill>
    </dxf>
    <dxf>
      <font>
        <name val="Arial"/>
        <charset val="1"/>
        <b val="1"/>
        <color rgb="FFC00000"/>
      </font>
      <fill>
        <patternFill>
          <bgColor rgb="FFFDE2E2"/>
        </patternFill>
      </fill>
    </dxf>
    <dxf>
      <fill>
        <patternFill>
          <bgColor rgb="FFFFC7A0"/>
        </patternFill>
      </fill>
    </dxf>
    <dxf>
      <font>
        <name val="Arial"/>
        <b val="1"/>
        <color rgb="FFC00000"/>
      </font>
    </dxf>
    <dxf>
      <fill>
        <patternFill patternType="solid">
          <fgColor rgb="FFFCE4D6"/>
        </patternFill>
      </fill>
    </dxf>
    <dxf>
      <font>
        <name val="Arial"/>
        <b val="1"/>
        <color rgb="FF007A33"/>
      </font>
      <fill>
        <patternFill patternType="solid">
          <fgColor rgb="FFE2F4E8"/>
        </patternFill>
      </fill>
    </dxf>
    <dxf>
      <fill>
        <patternFill patternType="solid">
          <fgColor rgb="FFFCE4D6"/>
        </patternFill>
      </fill>
    </dxf>
    <dxf>
      <font>
        <name val="Arial"/>
        <b val="1"/>
        <color rgb="FF007A33"/>
      </font>
      <fill>
        <patternFill patternType="solid">
          <fgColor rgb="FFE2F4E8"/>
        </patternFill>
      </fill>
    </dxf>
    <dxf>
      <fill>
        <patternFill patternType="solid">
          <fgColor rgb="FFFCE4D6"/>
        </patternFill>
      </fill>
    </dxf>
    <dxf>
      <font>
        <name val="Arial"/>
        <b val="1"/>
        <color rgb="FF007A33"/>
      </font>
      <fill>
        <patternFill patternType="solid">
          <fgColor rgb="FFE2F4E8"/>
        </patternFill>
      </fill>
    </dxf>
    <dxf>
      <font>
        <name val="Arial"/>
        <b val="1"/>
        <color rgb="FF007A33"/>
      </font>
      <fill>
        <patternFill patternType="solid">
          <fgColor rgb="FFE2F4E8"/>
        </patternFill>
      </fill>
    </dxf>
    <dxf>
      <font>
        <name val="Arial"/>
        <b val="1"/>
        <color rgb="FFC00000"/>
      </font>
      <fill>
        <patternFill patternType="solid">
          <fgColor rgb="FFFDE2E2"/>
        </patternFill>
      </fill>
    </dxf>
    <dxf>
      <font>
        <name val="Arial"/>
        <b val="1"/>
        <color rgb="FFC00000"/>
      </font>
      <fill>
        <patternFill patternType="solid">
          <fgColor rgb="FFFDE2E2"/>
        </patternFill>
      </fill>
    </dxf>
    <dxf>
      <font>
        <name val="Arial"/>
        <b val="1"/>
        <color rgb="FF007A33"/>
      </font>
      <fill>
        <patternFill patternType="solid">
          <fgColor rgb="FFE2F4E8"/>
        </patternFill>
      </fill>
    </dxf>
    <dxf>
      <font>
        <name val="Arial"/>
        <b val="1"/>
        <color rgb="FF007A33"/>
      </font>
      <fill>
        <patternFill patternType="solid">
          <fgColor rgb="FFE2F4E8"/>
        </patternFill>
      </fill>
    </dxf>
    <dxf>
      <font>
        <name val="Arial"/>
        <b val="1"/>
        <color rgb="FFC00000"/>
      </font>
      <fill>
        <patternFill patternType="solid">
          <fgColor rgb="FFFDE2E2"/>
        </patternFill>
      </fill>
    </dxf>
    <dxf>
      <font>
        <name val="Arial"/>
        <b val="1"/>
        <color rgb="FF007A33"/>
      </font>
      <fill>
        <patternFill patternType="solid">
          <fgColor rgb="FFE2F4E8"/>
        </patternFill>
      </fill>
    </dxf>
    <dxf>
      <font>
        <name val="Arial"/>
        <b val="1"/>
        <color rgb="FFC00000"/>
      </font>
      <fill>
        <patternFill patternType="solid">
          <fgColor rgb="FFFDE2E2"/>
        </patternFill>
      </fill>
    </dxf>
    <dxf>
      <font>
        <name val="Arial"/>
        <charset val="1"/>
        <b val="1"/>
        <color rgb="FF007A33"/>
      </font>
      <fill>
        <patternFill>
          <bgColor rgb="FFE2F4E8"/>
        </patternFill>
      </fill>
    </dxf>
    <dxf>
      <font>
        <name val="Arial"/>
        <charset val="1"/>
        <b val="1"/>
        <color rgb="FFC00000"/>
      </font>
      <fill>
        <patternFill>
          <bgColor rgb="FFFDE2E2"/>
        </patternFill>
      </fill>
    </dxf>
    <dxf>
      <font>
        <name val="Arial"/>
        <charset val="1"/>
        <b val="1"/>
        <color rgb="FF007A33"/>
      </font>
      <fill>
        <patternFill>
          <bgColor rgb="FFE2F4E8"/>
        </patternFill>
      </fill>
    </dxf>
    <dxf>
      <font>
        <name val="Arial"/>
        <charset val="1"/>
        <b val="1"/>
        <color rgb="FFC00000"/>
      </font>
      <fill>
        <patternFill>
          <bgColor rgb="FFFDE2E2"/>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7A33"/>
      <rgbColor rgb="FFBFBFBF"/>
      <rgbColor rgb="FF808080"/>
      <rgbColor rgb="FF9999FF"/>
      <rgbColor rgb="FF993366"/>
      <rgbColor rgb="FFFFF9DB"/>
      <rgbColor rgb="FFE2F4E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DCE6F1"/>
      <rgbColor rgb="FFF2F2F2"/>
      <rgbColor rgb="FFFDE2E2"/>
      <rgbColor rgb="FF99CCFF"/>
      <rgbColor rgb="FFFF99CC"/>
      <rgbColor rgb="FFCC99FF"/>
      <rgbColor rgb="FFFFC7A0"/>
      <rgbColor rgb="FF3366FF"/>
      <rgbColor rgb="FF33CCCC"/>
      <rgbColor rgb="FF99CC00"/>
      <rgbColor rgb="FFFFCC00"/>
      <rgbColor rgb="FFFF9900"/>
      <rgbColor rgb="FFFF6600"/>
      <rgbColor rgb="FF595959"/>
      <rgbColor rgb="FFA6A6A6"/>
      <rgbColor rgb="FF1F3A5F"/>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 Id="rIdFPB1" Type="http://schemas.microsoft.com/office/2022/11/relationships/FeaturePropertyBag" Target="featurePropertyBag/featurePropertyBag.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theme="3"/>
    <outlinePr summaryBelow="1" summaryRight="1"/>
    <pageSetUpPr fitToPage="1"/>
  </sheetPr>
  <dimension ref="A1:F49"/>
  <sheetViews>
    <sheetView showGridLines="0" tabSelected="1" zoomScale="130" zoomScaleNormal="130" workbookViewId="0">
      <selection activeCell="G47" sqref="G47"/>
    </sheetView>
  </sheetViews>
  <sheetFormatPr baseColWidth="10" defaultColWidth="8.6640625" defaultRowHeight="15"/>
  <cols>
    <col width="30" customWidth="1" style="107" min="1" max="1"/>
    <col width="18" customWidth="1" style="107" min="2" max="2"/>
    <col width="10" customWidth="1" style="107" min="3" max="3"/>
    <col width="26" customWidth="1" style="107" min="4" max="4"/>
    <col width="22" customWidth="1" style="107" min="5" max="5"/>
    <col width="14" customWidth="1" style="107" min="6" max="6"/>
  </cols>
  <sheetData>
    <row r="1" ht="30" customHeight="1" s="107">
      <c r="A1" s="106" t="inlineStr">
        <is>
          <t>Self-Reliance Plan</t>
        </is>
      </c>
    </row>
    <row r="2" ht="42" customHeight="1" s="107">
      <c r="A2" s="111" t="inlineStr">
        <is>
          <t>Expanded working version of the Self-Reliance Plan form (PD60007387). Fill in the yellow cells. Steps 2 (income &amp; expenses) are on the Income, Expenses, and Debts tabs; results are on the Summary tab.</t>
        </is>
      </c>
    </row>
    <row r="4">
      <c r="A4" s="112" t="inlineStr">
        <is>
          <t>Member Information</t>
        </is>
      </c>
    </row>
    <row r="5">
      <c r="A5" s="8" t="inlineStr">
        <is>
          <t>Name</t>
        </is>
      </c>
      <c r="B5" s="138" t="n"/>
      <c r="C5" s="103" t="n"/>
      <c r="D5" s="103" t="n"/>
      <c r="E5" s="103" t="n"/>
      <c r="F5" s="120" t="n"/>
    </row>
    <row r="6">
      <c r="A6" s="8" t="inlineStr">
        <is>
          <t>Phone / email</t>
        </is>
      </c>
      <c r="B6" s="139" t="n"/>
      <c r="C6" s="103" t="n"/>
      <c r="D6" s="103" t="n"/>
      <c r="E6" s="103" t="n"/>
      <c r="F6" s="120" t="n"/>
    </row>
    <row r="7">
      <c r="A7" s="8" t="inlineStr">
        <is>
          <t>Address</t>
        </is>
      </c>
      <c r="B7" s="138" t="n"/>
      <c r="C7" s="103" t="n"/>
      <c r="D7" s="103" t="n"/>
      <c r="E7" s="103" t="n"/>
      <c r="F7" s="120" t="n"/>
    </row>
    <row r="8">
      <c r="A8" s="8" t="inlineStr">
        <is>
          <t>Date of review</t>
        </is>
      </c>
      <c r="B8" s="140" t="n"/>
      <c r="C8" s="103" t="n"/>
      <c r="D8" s="103" t="n"/>
      <c r="E8" s="103" t="n"/>
      <c r="F8" s="120" t="n"/>
    </row>
    <row r="9">
      <c r="A9" s="8" t="inlineStr">
        <is>
          <t>Reviewed with (leader)</t>
        </is>
      </c>
      <c r="B9" s="140" t="n"/>
      <c r="C9" s="103" t="n"/>
      <c r="D9" s="103" t="n"/>
      <c r="E9" s="103" t="n"/>
      <c r="F9" s="120" t="n"/>
    </row>
    <row r="11">
      <c r="A11" s="9" t="inlineStr">
        <is>
          <t>Household members</t>
        </is>
      </c>
    </row>
    <row r="12">
      <c r="A12" s="110" t="inlineStr">
        <is>
          <t>Name</t>
        </is>
      </c>
      <c r="B12" s="110" t="inlineStr">
        <is>
          <t>Relationship</t>
        </is>
      </c>
      <c r="C12" s="110" t="inlineStr">
        <is>
          <t>Age</t>
        </is>
      </c>
      <c r="D12" s="110" t="inlineStr">
        <is>
          <t>Employment / school status</t>
        </is>
      </c>
      <c r="E12" s="110" t="inlineStr">
        <is>
          <t>Health or special needs</t>
        </is>
      </c>
      <c r="F12" s="110" t="inlineStr">
        <is>
          <t>Notes</t>
        </is>
      </c>
    </row>
    <row r="13">
      <c r="A13" s="46" t="n"/>
      <c r="B13" s="47" t="n"/>
      <c r="C13" s="47" t="n"/>
      <c r="D13" s="46" t="n"/>
      <c r="E13" s="68" t="n"/>
      <c r="F13" s="68" t="n"/>
    </row>
    <row r="14">
      <c r="A14" s="46" t="n"/>
      <c r="B14" s="47" t="n"/>
      <c r="C14" s="47" t="n"/>
      <c r="D14" s="46" t="n"/>
      <c r="E14" s="68" t="n"/>
      <c r="F14" s="68" t="n"/>
    </row>
    <row r="15">
      <c r="A15" s="46" t="n"/>
      <c r="B15" s="47" t="n"/>
      <c r="C15" s="47" t="n"/>
      <c r="D15" s="46" t="n"/>
      <c r="E15" s="68" t="n"/>
      <c r="F15" s="68" t="n"/>
    </row>
    <row r="16">
      <c r="A16" s="46" t="n"/>
      <c r="B16" s="47" t="n"/>
      <c r="C16" s="47" t="n"/>
      <c r="D16" s="46" t="n"/>
      <c r="E16" s="68" t="n"/>
      <c r="F16" s="68" t="n"/>
    </row>
    <row r="17">
      <c r="A17" s="46" t="n"/>
      <c r="B17" s="47" t="n"/>
      <c r="C17" s="47" t="n"/>
      <c r="D17" s="46" t="n"/>
      <c r="E17" s="68" t="n"/>
      <c r="F17" s="68" t="n"/>
    </row>
    <row r="18">
      <c r="A18" s="68" t="n"/>
      <c r="B18" s="68" t="n"/>
      <c r="C18" s="68" t="n"/>
      <c r="D18" s="68" t="n"/>
      <c r="E18" s="68" t="n"/>
      <c r="F18" s="68" t="n"/>
    </row>
    <row r="19">
      <c r="A19" s="68" t="n"/>
      <c r="B19" s="68" t="n"/>
      <c r="C19" s="68" t="n"/>
      <c r="D19" s="68" t="n"/>
      <c r="E19" s="68" t="n"/>
      <c r="F19" s="68" t="n"/>
    </row>
    <row r="20">
      <c r="A20" s="68" t="n"/>
      <c r="B20" s="68" t="n"/>
      <c r="C20" s="68" t="n"/>
      <c r="D20" s="68" t="n"/>
      <c r="E20" s="68" t="n"/>
      <c r="F20" s="68" t="n"/>
    </row>
    <row r="22">
      <c r="A22" s="112" t="inlineStr">
        <is>
          <t>Step 1: What are my needs?</t>
        </is>
      </c>
    </row>
    <row r="23" ht="75" customHeight="1" s="107">
      <c r="A23" s="8" t="inlineStr">
        <is>
          <t>Immediate needs (food, clothing, medical/emotional care, housing)</t>
        </is>
      </c>
      <c r="B23" s="140" t="n"/>
      <c r="C23" s="103" t="n"/>
      <c r="D23" s="103" t="n"/>
      <c r="E23" s="103" t="n"/>
      <c r="F23" s="120" t="n"/>
    </row>
    <row r="24" ht="75" customHeight="1" s="107">
      <c r="A24" s="8" t="inlineStr">
        <is>
          <t>Longer-term needs (education, improved employment)</t>
        </is>
      </c>
      <c r="B24" s="140" t="n"/>
      <c r="C24" s="103" t="n"/>
      <c r="D24" s="103" t="n"/>
      <c r="E24" s="103" t="n"/>
      <c r="F24" s="120" t="n"/>
    </row>
    <row r="26">
      <c r="A26" s="112" t="inlineStr">
        <is>
          <t>Step 2: What are my income and expenses?  →  see Income, Expenses, Debts, and Summary tabs</t>
        </is>
      </c>
    </row>
    <row r="28">
      <c r="A28" s="112" t="inlineStr">
        <is>
          <t>Step 3: What other resources are available?</t>
        </is>
      </c>
    </row>
    <row r="29" ht="60" customHeight="1" s="107">
      <c r="A29" s="8" t="inlineStr">
        <is>
          <t>Individual resources and skills</t>
        </is>
      </c>
      <c r="B29" s="140" t="n"/>
      <c r="C29" s="103" t="n"/>
      <c r="D29" s="103" t="n"/>
      <c r="E29" s="103" t="n"/>
      <c r="F29" s="120" t="n"/>
    </row>
    <row r="30" ht="60" customHeight="1" s="107">
      <c r="A30" s="8" t="inlineStr">
        <is>
          <t>Help available from family members</t>
        </is>
      </c>
      <c r="B30" s="140" t="n"/>
      <c r="C30" s="103" t="n"/>
      <c r="D30" s="103" t="n"/>
      <c r="E30" s="103" t="n"/>
      <c r="F30" s="120" t="n"/>
    </row>
    <row r="31" ht="60" customHeight="1" s="107">
      <c r="A31" s="8" t="inlineStr">
        <is>
          <t>Relevant community resources</t>
        </is>
      </c>
      <c r="B31" s="140" t="n"/>
      <c r="C31" s="103" t="n"/>
      <c r="D31" s="103" t="n"/>
      <c r="E31" s="103" t="n"/>
      <c r="F31" s="120" t="n"/>
    </row>
    <row r="33">
      <c r="A33" s="112" t="inlineStr">
        <is>
          <t>Step 4: What is my personal or family plan to become more self-reliant?</t>
        </is>
      </c>
    </row>
    <row r="34">
      <c r="A34" s="11" t="inlineStr">
        <is>
          <t>Consider participating in a self-reliance group.</t>
        </is>
      </c>
    </row>
    <row r="35">
      <c r="A35" s="141" t="inlineStr">
        <is>
          <t>Resources and skills needed</t>
        </is>
      </c>
      <c r="B35" s="120" t="n"/>
      <c r="C35" s="141" t="inlineStr">
        <is>
          <t>Steps to be taken</t>
        </is>
      </c>
      <c r="D35" s="103" t="n"/>
      <c r="E35" s="120" t="n"/>
      <c r="F35" s="110" t="inlineStr">
        <is>
          <t>By when</t>
        </is>
      </c>
    </row>
    <row r="36" ht="30" customHeight="1" s="107">
      <c r="A36" s="142" t="n"/>
      <c r="B36" s="120" t="n"/>
      <c r="C36" s="138" t="n"/>
      <c r="D36" s="103" t="n"/>
      <c r="E36" s="120" t="n"/>
      <c r="F36" s="51" t="n"/>
    </row>
    <row r="37" ht="30" customHeight="1" s="107">
      <c r="A37" s="142" t="n"/>
      <c r="B37" s="120" t="n"/>
      <c r="C37" s="138" t="n"/>
      <c r="D37" s="103" t="n"/>
      <c r="E37" s="120" t="n"/>
      <c r="F37" s="51" t="n"/>
    </row>
    <row r="38" ht="30" customHeight="1" s="107">
      <c r="A38" s="142" t="n"/>
      <c r="B38" s="120" t="n"/>
      <c r="C38" s="138" t="n"/>
      <c r="D38" s="103" t="n"/>
      <c r="E38" s="120" t="n"/>
      <c r="F38" s="51" t="n"/>
    </row>
    <row r="39" ht="30" customHeight="1" s="107">
      <c r="A39" s="142" t="n"/>
      <c r="B39" s="120" t="n"/>
      <c r="C39" s="138" t="n"/>
      <c r="D39" s="103" t="n"/>
      <c r="E39" s="120" t="n"/>
      <c r="F39" s="51" t="n"/>
    </row>
    <row r="40" ht="30" customHeight="1" s="107">
      <c r="A40" s="142" t="n"/>
      <c r="B40" s="120" t="n"/>
      <c r="C40" s="138" t="n"/>
      <c r="D40" s="103" t="n"/>
      <c r="E40" s="120" t="n"/>
      <c r="F40" s="51" t="n"/>
    </row>
    <row r="41" ht="30" customHeight="1" s="107">
      <c r="A41" s="142" t="n"/>
      <c r="B41" s="120" t="n"/>
      <c r="C41" s="138" t="n"/>
      <c r="D41" s="103" t="n"/>
      <c r="E41" s="120" t="n"/>
      <c r="F41" s="51" t="n"/>
    </row>
    <row r="43">
      <c r="A43" s="112" t="inlineStr">
        <is>
          <t>Step 5: What work or service will I contribute in return for any assistance I may receive?</t>
        </is>
      </c>
    </row>
    <row r="44" ht="49.5" customHeight="1" s="107">
      <c r="A44" s="8" t="inlineStr">
        <is>
          <t>Ideas to share with the bishop or branch president</t>
        </is>
      </c>
      <c r="B44" s="140" t="n"/>
      <c r="C44" s="103" t="n"/>
      <c r="D44" s="103" t="n"/>
      <c r="E44" s="103" t="n"/>
      <c r="F44" s="120" t="n"/>
    </row>
    <row r="45" ht="49.5" customHeight="1" s="107">
      <c r="A45" s="8" t="inlineStr">
        <is>
          <t>Work or service assignment (after consulting with bishop)</t>
        </is>
      </c>
      <c r="B45" s="140" t="n"/>
      <c r="C45" s="103" t="n"/>
      <c r="D45" s="103" t="n"/>
      <c r="E45" s="103" t="n"/>
      <c r="F45" s="120" t="n"/>
    </row>
    <row r="47">
      <c r="A47" s="112" t="inlineStr">
        <is>
          <t>Commitment</t>
        </is>
      </c>
    </row>
    <row r="48" ht="27.75" customHeight="1" s="107">
      <c r="A48" s="2" t="inlineStr">
        <is>
          <t>Member's signature</t>
        </is>
      </c>
      <c r="B48" s="101" t="n"/>
      <c r="C48" s="101" t="n"/>
      <c r="D48" s="101" t="n"/>
      <c r="E48" s="2" t="inlineStr">
        <is>
          <t>Date</t>
        </is>
      </c>
      <c r="F48" s="101" t="n"/>
    </row>
    <row r="49" ht="27.75" customHeight="1" s="107">
      <c r="A49" s="2" t="inlineStr">
        <is>
          <t>Spouse's signature</t>
        </is>
      </c>
      <c r="B49" s="101" t="n"/>
      <c r="C49" s="101" t="n"/>
      <c r="D49" s="101" t="n"/>
      <c r="E49" s="2" t="inlineStr">
        <is>
          <t>Date</t>
        </is>
      </c>
      <c r="F49" s="101" t="n"/>
    </row>
  </sheetData>
  <mergeCells count="37">
    <mergeCell ref="B7:F7"/>
    <mergeCell ref="C41:E41"/>
    <mergeCell ref="B48:D48"/>
    <mergeCell ref="C40:E40"/>
    <mergeCell ref="A36:B36"/>
    <mergeCell ref="B31:F31"/>
    <mergeCell ref="A26:F26"/>
    <mergeCell ref="A33:F33"/>
    <mergeCell ref="A2:F2"/>
    <mergeCell ref="C36:E36"/>
    <mergeCell ref="A47:F47"/>
    <mergeCell ref="A41:B41"/>
    <mergeCell ref="B49:D49"/>
    <mergeCell ref="C39:E39"/>
    <mergeCell ref="A37:B37"/>
    <mergeCell ref="A22:F22"/>
    <mergeCell ref="B23:F23"/>
    <mergeCell ref="A4:F4"/>
    <mergeCell ref="B8:F8"/>
    <mergeCell ref="C38:E38"/>
    <mergeCell ref="B44:F44"/>
    <mergeCell ref="A43:F43"/>
    <mergeCell ref="B29:F29"/>
    <mergeCell ref="A28:F28"/>
    <mergeCell ref="C37:E37"/>
    <mergeCell ref="B9:F9"/>
    <mergeCell ref="A35:B35"/>
    <mergeCell ref="B30:F30"/>
    <mergeCell ref="A38:B38"/>
    <mergeCell ref="B6:F6"/>
    <mergeCell ref="B24:F24"/>
    <mergeCell ref="A1:F1"/>
    <mergeCell ref="B5:F5"/>
    <mergeCell ref="B45:F45"/>
    <mergeCell ref="A40:B40"/>
    <mergeCell ref="C35:E35"/>
    <mergeCell ref="A39:B39"/>
  </mergeCells>
  <printOptions horizontalCentered="1"/>
  <pageMargins left="0.75" right="0.75" top="1" bottom="1" header="0.511811023622047" footer="0.511811023622047"/>
  <pageSetup orientation="portrait" fitToHeight="0" horizontalDpi="300" verticalDpi="300"/>
</worksheet>
</file>

<file path=xl/worksheets/sheet2.xml><?xml version="1.0" encoding="utf-8"?>
<worksheet xmlns="http://schemas.openxmlformats.org/spreadsheetml/2006/main">
  <sheetPr>
    <tabColor theme="7"/>
    <outlinePr summaryBelow="1" summaryRight="1"/>
    <pageSetUpPr fitToPage="1"/>
  </sheetPr>
  <dimension ref="A1:D62"/>
  <sheetViews>
    <sheetView showGridLines="0" zoomScaleNormal="100" workbookViewId="0">
      <selection activeCell="A1" sqref="A1:D1"/>
    </sheetView>
  </sheetViews>
  <sheetFormatPr baseColWidth="10" defaultColWidth="8.6640625" defaultRowHeight="15"/>
  <cols>
    <col width="44" customWidth="1" style="107" min="1" max="1"/>
    <col width="16" customWidth="1" style="107" min="2" max="2"/>
    <col width="44" customWidth="1" style="107" min="3" max="3"/>
    <col width="14" customWidth="1" style="107" min="4" max="4"/>
  </cols>
  <sheetData>
    <row r="1" ht="30" customHeight="1" s="107">
      <c r="A1" s="106" t="inlineStr">
        <is>
          <t>Financial Summary</t>
        </is>
      </c>
    </row>
    <row r="2" ht="42" customHeight="1" s="107">
      <c r="A2" s="111" t="inlineStr">
        <is>
          <t>Everything on this tab calculates from the Income, Expenses, and Debts tabs — no entry needed. Use the bottom section to copy totals onto the official Self-Reliance Plan form.</t>
        </is>
      </c>
    </row>
    <row r="4" ht="30" customHeight="1" s="107">
      <c r="A4" s="13" t="inlineStr">
        <is>
          <t>Key Figures</t>
        </is>
      </c>
      <c r="B4" s="13" t="inlineStr">
        <is>
          <t>Monthly</t>
        </is>
      </c>
      <c r="C4" s="13" t="inlineStr">
        <is>
          <t>Notes</t>
        </is>
      </c>
      <c r="D4" s="13" t="n"/>
    </row>
    <row r="5">
      <c r="A5" s="14" t="inlineStr">
        <is>
          <t>Total monthly income</t>
        </is>
      </c>
      <c r="B5" s="15">
        <f>INCOME!F42</f>
        <v/>
      </c>
    </row>
    <row r="6">
      <c r="A6" s="14" t="inlineStr">
        <is>
          <t>Total monthly expenses</t>
        </is>
      </c>
      <c r="B6" s="15">
        <f>EXPENSES!E128</f>
        <v/>
      </c>
    </row>
    <row r="7">
      <c r="A7" s="14" t="inlineStr">
        <is>
          <t>Monthly surplus / (shortfall)</t>
        </is>
      </c>
      <c r="B7" s="15">
        <f>B5-B6</f>
        <v/>
      </c>
      <c r="C7" s="16" t="inlineStr">
        <is>
          <t>Negative = spending more than comes in</t>
        </is>
      </c>
    </row>
    <row r="8">
      <c r="A8" s="17" t="inlineStr">
        <is>
          <t>Discretionary expenses (could be reduced)</t>
        </is>
      </c>
      <c r="B8" s="18">
        <f>SUMIFS(EXPENSES!E5:E126,EXPENSES!F5:F126,"Discretionary")</f>
        <v/>
      </c>
      <c r="C8" s="16" t="inlineStr">
        <is>
          <t>Rows marked Discretionary on Expenses tab</t>
        </is>
      </c>
    </row>
    <row r="9">
      <c r="A9" s="14" t="inlineStr">
        <is>
          <t>Surplus / (shortfall) if discretionary cut</t>
        </is>
      </c>
      <c r="B9" s="15">
        <f>B7+B8</f>
        <v/>
      </c>
    </row>
    <row r="10">
      <c r="A10" s="17" t="inlineStr">
        <is>
          <t>Essential expenses only</t>
        </is>
      </c>
      <c r="B10" s="18">
        <f>SUMIFS(EXPENSES!E5:E126,EXPENSES!F5:F126,"Essential")</f>
        <v/>
      </c>
      <c r="C10" s="16" t="inlineStr">
        <is>
          <t>Bare-minimum monthly need</t>
        </is>
      </c>
    </row>
    <row r="12" ht="30" customHeight="1" s="107">
      <c r="A12" s="13" t="inlineStr">
        <is>
          <t>Debt &amp; Risk Indicators</t>
        </is>
      </c>
      <c r="B12" s="13" t="inlineStr">
        <is>
          <t>Value</t>
        </is>
      </c>
      <c r="C12" s="13" t="inlineStr">
        <is>
          <t>Guideline</t>
        </is>
      </c>
      <c r="D12" s="13" t="n"/>
    </row>
    <row r="13">
      <c r="A13" s="17" t="inlineStr">
        <is>
          <t>Total past-due amount (bills + debts)</t>
        </is>
      </c>
      <c r="B13" s="18">
        <f>EXPENSES!I128</f>
        <v/>
      </c>
      <c r="C13" s="16" t="inlineStr">
        <is>
          <t>Urgent — address first</t>
        </is>
      </c>
    </row>
    <row r="14">
      <c r="A14" s="17" t="inlineStr">
        <is>
          <t>Total debt balance owed</t>
        </is>
      </c>
      <c r="B14" s="18">
        <f>DEBTS!C21</f>
        <v/>
      </c>
    </row>
    <row r="15">
      <c r="A15" s="17" t="inlineStr">
        <is>
          <t>Housing cost as % of income</t>
        </is>
      </c>
      <c r="B15" s="19">
        <f>IFERROR(SUMIFS(EXPENSES!E5:E126,EXPENSES!A5:A126,"Housing")/B5,0)</f>
        <v/>
      </c>
      <c r="C15" s="16" t="inlineStr">
        <is>
          <t>Under 30% is generally considered affordable</t>
        </is>
      </c>
    </row>
    <row r="16">
      <c r="A16" s="17" t="inlineStr">
        <is>
          <t>Debt payments as % of income</t>
        </is>
      </c>
      <c r="B16" s="19">
        <f>IFERROR(DEBTS!E21/B5,0)</f>
        <v/>
      </c>
      <c r="C16" s="16" t="inlineStr">
        <is>
          <t>Over 20% (excl. housing &amp; car) signals strain</t>
        </is>
      </c>
    </row>
    <row r="17">
      <c r="A17" s="17" t="inlineStr">
        <is>
          <t>Income-to-expense ratio</t>
        </is>
      </c>
      <c r="B17" s="20">
        <f>IFERROR(B5/B6,0)</f>
        <v/>
      </c>
      <c r="C17" s="16" t="inlineStr">
        <is>
          <t>Below 1.00 = income doesn't cover expenses</t>
        </is>
      </c>
    </row>
    <row r="19" ht="30" customHeight="1" s="107">
      <c r="A19" s="13" t="inlineStr">
        <is>
          <t>Expenses by Category</t>
        </is>
      </c>
      <c r="B19" s="13" t="inlineStr">
        <is>
          <t>Monthly</t>
        </is>
      </c>
      <c r="C19" s="13" t="inlineStr">
        <is>
          <t>% of Expenses</t>
        </is>
      </c>
      <c r="D19" s="13" t="inlineStr">
        <is>
          <t>Past Due</t>
        </is>
      </c>
    </row>
    <row r="20">
      <c r="A20" s="17" t="inlineStr">
        <is>
          <t>Tithes &amp; Offerings</t>
        </is>
      </c>
      <c r="B20" s="18">
        <f>SUMIFS(EXPENSES!$E$5:$E$126,EXPENSES!$A$5:$A$126,A20)</f>
        <v/>
      </c>
      <c r="C20" s="19">
        <f>IFERROR(B20/$B$6,0)</f>
        <v/>
      </c>
      <c r="D20" s="18">
        <f>SUMIFS(EXPENSES!$I$5:$I$126,EXPENSES!$A$5:$A$126,A20)</f>
        <v/>
      </c>
    </row>
    <row r="21">
      <c r="A21" s="17" t="inlineStr">
        <is>
          <t>Housing</t>
        </is>
      </c>
      <c r="B21" s="18">
        <f>SUMIFS(EXPENSES!$E$5:$E$126,EXPENSES!$A$5:$A$126,A21)</f>
        <v/>
      </c>
      <c r="C21" s="19">
        <f>IFERROR(B21/$B$6,0)</f>
        <v/>
      </c>
      <c r="D21" s="18">
        <f>SUMIFS(EXPENSES!$I$5:$I$126,EXPENSES!$A$5:$A$126,A21)</f>
        <v/>
      </c>
    </row>
    <row r="22">
      <c r="A22" s="17" t="inlineStr">
        <is>
          <t>Utilities</t>
        </is>
      </c>
      <c r="B22" s="18">
        <f>SUMIFS(EXPENSES!$E$5:$E$126,EXPENSES!$A$5:$A$126,A22)</f>
        <v/>
      </c>
      <c r="C22" s="19">
        <f>IFERROR(B22/$B$6,0)</f>
        <v/>
      </c>
      <c r="D22" s="18">
        <f>SUMIFS(EXPENSES!$I$5:$I$126,EXPENSES!$A$5:$A$126,A22)</f>
        <v/>
      </c>
    </row>
    <row r="23">
      <c r="A23" s="17" t="inlineStr">
        <is>
          <t>Food</t>
        </is>
      </c>
      <c r="B23" s="18">
        <f>SUMIFS(EXPENSES!$E$5:$E$126,EXPENSES!$A$5:$A$126,A23)</f>
        <v/>
      </c>
      <c r="C23" s="19">
        <f>IFERROR(B23/$B$6,0)</f>
        <v/>
      </c>
      <c r="D23" s="18">
        <f>SUMIFS(EXPENSES!$I$5:$I$126,EXPENSES!$A$5:$A$126,A23)</f>
        <v/>
      </c>
    </row>
    <row r="24">
      <c r="A24" s="17" t="inlineStr">
        <is>
          <t>Household &amp; Personal</t>
        </is>
      </c>
      <c r="B24" s="18">
        <f>SUMIFS(EXPENSES!$E$5:$E$126,EXPENSES!$A$5:$A$126,A24)</f>
        <v/>
      </c>
      <c r="C24" s="19">
        <f>IFERROR(B24/$B$6,0)</f>
        <v/>
      </c>
      <c r="D24" s="18">
        <f>SUMIFS(EXPENSES!$I$5:$I$126,EXPENSES!$A$5:$A$126,A24)</f>
        <v/>
      </c>
    </row>
    <row r="25">
      <c r="A25" s="17" t="inlineStr">
        <is>
          <t>Clothing</t>
        </is>
      </c>
      <c r="B25" s="18">
        <f>SUMIFS(EXPENSES!$E$5:$E$126,EXPENSES!$A$5:$A$126,A25)</f>
        <v/>
      </c>
      <c r="C25" s="19">
        <f>IFERROR(B25/$B$6,0)</f>
        <v/>
      </c>
      <c r="D25" s="18">
        <f>SUMIFS(EXPENSES!$I$5:$I$126,EXPENSES!$A$5:$A$126,A25)</f>
        <v/>
      </c>
    </row>
    <row r="26">
      <c r="A26" s="17" t="inlineStr">
        <is>
          <t>Transportation</t>
        </is>
      </c>
      <c r="B26" s="18">
        <f>SUMIFS(EXPENSES!$E$5:$E$126,EXPENSES!$A$5:$A$126,A26)</f>
        <v/>
      </c>
      <c r="C26" s="19">
        <f>IFERROR(B26/$B$6,0)</f>
        <v/>
      </c>
      <c r="D26" s="18">
        <f>SUMIFS(EXPENSES!$I$5:$I$126,EXPENSES!$A$5:$A$126,A26)</f>
        <v/>
      </c>
    </row>
    <row r="27">
      <c r="A27" s="17" t="inlineStr">
        <is>
          <t>Medical &amp; Health</t>
        </is>
      </c>
      <c r="B27" s="18">
        <f>SUMIFS(EXPENSES!$E$5:$E$126,EXPENSES!$A$5:$A$126,A27)</f>
        <v/>
      </c>
      <c r="C27" s="19">
        <f>IFERROR(B27/$B$6,0)</f>
        <v/>
      </c>
      <c r="D27" s="18">
        <f>SUMIFS(EXPENSES!$I$5:$I$126,EXPENSES!$A$5:$A$126,A27)</f>
        <v/>
      </c>
    </row>
    <row r="28">
      <c r="A28" s="17" t="inlineStr">
        <is>
          <t>Childcare &amp; Dependents</t>
        </is>
      </c>
      <c r="B28" s="18">
        <f>SUMIFS(EXPENSES!$E$5:$E$126,EXPENSES!$A$5:$A$126,A28)</f>
        <v/>
      </c>
      <c r="C28" s="19">
        <f>IFERROR(B28/$B$6,0)</f>
        <v/>
      </c>
      <c r="D28" s="18">
        <f>SUMIFS(EXPENSES!$I$5:$I$126,EXPENSES!$A$5:$A$126,A28)</f>
        <v/>
      </c>
    </row>
    <row r="29">
      <c r="A29" s="17" t="inlineStr">
        <is>
          <t>Education</t>
        </is>
      </c>
      <c r="B29" s="18">
        <f>SUMIFS(EXPENSES!$E$5:$E$126,EXPENSES!$A$5:$A$126,A29)</f>
        <v/>
      </c>
      <c r="C29" s="19">
        <f>IFERROR(B29/$B$6,0)</f>
        <v/>
      </c>
      <c r="D29" s="18">
        <f>SUMIFS(EXPENSES!$I$5:$I$126,EXPENSES!$A$5:$A$126,A29)</f>
        <v/>
      </c>
    </row>
    <row r="30">
      <c r="A30" s="17" t="inlineStr">
        <is>
          <t>Debt Payments</t>
        </is>
      </c>
      <c r="B30" s="18">
        <f>SUMIFS(EXPENSES!$E$5:$E$126,EXPENSES!$A$5:$A$126,A30)</f>
        <v/>
      </c>
      <c r="C30" s="19">
        <f>IFERROR(B30/$B$6,0)</f>
        <v/>
      </c>
      <c r="D30" s="18">
        <f>SUMIFS(EXPENSES!$I$5:$I$126,EXPENSES!$A$5:$A$126,A30)</f>
        <v/>
      </c>
    </row>
    <row r="31">
      <c r="A31" s="17" t="inlineStr">
        <is>
          <t>Legal &amp; Government</t>
        </is>
      </c>
      <c r="B31" s="18">
        <f>SUMIFS(EXPENSES!$E$5:$E$126,EXPENSES!$A$5:$A$126,A31)</f>
        <v/>
      </c>
      <c r="C31" s="19">
        <f>IFERROR(B31/$B$6,0)</f>
        <v/>
      </c>
      <c r="D31" s="18">
        <f>SUMIFS(EXPENSES!$I$5:$I$126,EXPENSES!$A$5:$A$126,A31)</f>
        <v/>
      </c>
    </row>
    <row r="32">
      <c r="A32" s="17" t="inlineStr">
        <is>
          <t>Pets</t>
        </is>
      </c>
      <c r="B32" s="18">
        <f>SUMIFS(EXPENSES!$E$5:$E$126,EXPENSES!$A$5:$A$126,A32)</f>
        <v/>
      </c>
      <c r="C32" s="19">
        <f>IFERROR(B32/$B$6,0)</f>
        <v/>
      </c>
      <c r="D32" s="18">
        <f>SUMIFS(EXPENSES!$I$5:$I$126,EXPENSES!$A$5:$A$126,A32)</f>
        <v/>
      </c>
    </row>
    <row r="33">
      <c r="A33" s="17" t="inlineStr">
        <is>
          <t>Subscriptions &amp; Memberships</t>
        </is>
      </c>
      <c r="B33" s="18">
        <f>SUMIFS(EXPENSES!$E$5:$E$126,EXPENSES!$A$5:$A$126,A33)</f>
        <v/>
      </c>
      <c r="C33" s="19">
        <f>IFERROR(B33/$B$6,0)</f>
        <v/>
      </c>
      <c r="D33" s="18">
        <f>SUMIFS(EXPENSES!$I$5:$I$126,EXPENSES!$A$5:$A$126,A33)</f>
        <v/>
      </c>
    </row>
    <row r="34">
      <c r="A34" s="17" t="inlineStr">
        <is>
          <t>Recreation &amp; Discretionary</t>
        </is>
      </c>
      <c r="B34" s="18">
        <f>SUMIFS(EXPENSES!$E$5:$E$126,EXPENSES!$A$5:$A$126,A34)</f>
        <v/>
      </c>
      <c r="C34" s="19">
        <f>IFERROR(B34/$B$6,0)</f>
        <v/>
      </c>
      <c r="D34" s="18">
        <f>SUMIFS(EXPENSES!$I$5:$I$126,EXPENSES!$A$5:$A$126,A34)</f>
        <v/>
      </c>
    </row>
    <row r="35">
      <c r="A35" s="17" t="inlineStr">
        <is>
          <t>Savings &amp; Emergency</t>
        </is>
      </c>
      <c r="B35" s="18">
        <f>SUMIFS(EXPENSES!$E$5:$E$126,EXPENSES!$A$5:$A$126,A35)</f>
        <v/>
      </c>
      <c r="C35" s="19">
        <f>IFERROR(B35/$B$6,0)</f>
        <v/>
      </c>
      <c r="D35" s="18">
        <f>SUMIFS(EXPENSES!$I$5:$I$126,EXPENSES!$A$5:$A$126,A35)</f>
        <v/>
      </c>
    </row>
    <row r="36">
      <c r="A36" s="17" t="inlineStr">
        <is>
          <t>Irregular / Annual Costs</t>
        </is>
      </c>
      <c r="B36" s="18">
        <f>SUMIFS(EXPENSES!$E$5:$E$126,EXPENSES!$A$5:$A$126,A36)</f>
        <v/>
      </c>
      <c r="C36" s="19">
        <f>IFERROR(B36/$B$6,0)</f>
        <v/>
      </c>
      <c r="D36" s="18">
        <f>SUMIFS(EXPENSES!$I$5:$I$126,EXPENSES!$A$5:$A$126,A36)</f>
        <v/>
      </c>
    </row>
    <row r="37">
      <c r="A37" s="2" t="inlineStr">
        <is>
          <t>Total</t>
        </is>
      </c>
      <c r="B37" s="15">
        <f>SUM(B20:B36)</f>
        <v/>
      </c>
      <c r="C37" s="21">
        <f>IFERROR(B37/$B$6,0)</f>
        <v/>
      </c>
      <c r="D37" s="15">
        <f>SUM(D20:D36)</f>
        <v/>
      </c>
    </row>
    <row r="39" ht="30" customHeight="1" s="107">
      <c r="A39" s="13" t="inlineStr">
        <is>
          <t>Transfer to Official SRP Form — Income</t>
        </is>
      </c>
      <c r="B39" s="13" t="inlineStr">
        <is>
          <t>Monthly</t>
        </is>
      </c>
      <c r="C39" s="13" t="n"/>
      <c r="D39" s="13" t="n"/>
    </row>
    <row r="40">
      <c r="A40" s="17" t="inlineStr">
        <is>
          <t>Income from all household members</t>
        </is>
      </c>
      <c r="B40" s="18">
        <f>SUMIFS(INCOME!$F$5:$F$40,INCOME!$G$5:$G$40,A40)</f>
        <v/>
      </c>
    </row>
    <row r="41">
      <c r="A41" s="17" t="inlineStr">
        <is>
          <t>Other financial sources (family, others)</t>
        </is>
      </c>
      <c r="B41" s="18">
        <f>SUMIFS(INCOME!$F$5:$F$40,INCOME!$G$5:$G$40,A41)</f>
        <v/>
      </c>
    </row>
    <row r="42">
      <c r="A42" s="17" t="inlineStr">
        <is>
          <t>Government assistance</t>
        </is>
      </c>
      <c r="B42" s="18">
        <f>SUMIFS(INCOME!$F$5:$F$40,INCOME!$G$5:$G$40,A42)</f>
        <v/>
      </c>
    </row>
    <row r="43">
      <c r="A43" s="2" t="inlineStr">
        <is>
          <t>Total</t>
        </is>
      </c>
      <c r="B43" s="15">
        <f>SUM(B40:B42)</f>
        <v/>
      </c>
    </row>
    <row r="45" ht="30" customHeight="1" s="107">
      <c r="A45" s="13" t="inlineStr">
        <is>
          <t>Transfer to Official SRP Form — Expenses</t>
        </is>
      </c>
      <c r="B45" s="13" t="inlineStr">
        <is>
          <t>Monthly</t>
        </is>
      </c>
      <c r="C45" s="13" t="n"/>
      <c r="D45" s="13" t="n"/>
    </row>
    <row r="46">
      <c r="A46" s="17" t="inlineStr">
        <is>
          <t>Tithes, offerings</t>
        </is>
      </c>
      <c r="B46" s="18">
        <f>SUMIFS(EXPENSES!$E$5:$E$126,EXPENSES!$J$5:$J$126,A46)</f>
        <v/>
      </c>
    </row>
    <row r="47">
      <c r="A47" s="17" t="inlineStr">
        <is>
          <t>Food</t>
        </is>
      </c>
      <c r="B47" s="18">
        <f>SUMIFS(EXPENSES!$E$5:$E$126,EXPENSES!$J$5:$J$126,A47)</f>
        <v/>
      </c>
    </row>
    <row r="48">
      <c r="A48" s="17" t="inlineStr">
        <is>
          <t>Housing</t>
        </is>
      </c>
      <c r="B48" s="18">
        <f>SUMIFS(EXPENSES!$E$5:$E$126,EXPENSES!$J$5:$J$126,A48)</f>
        <v/>
      </c>
    </row>
    <row r="49">
      <c r="A49" s="17" t="inlineStr">
        <is>
          <t>Water</t>
        </is>
      </c>
      <c r="B49" s="18">
        <f>SUMIFS(EXPENSES!$E$5:$E$126,EXPENSES!$J$5:$J$126,A49)</f>
        <v/>
      </c>
    </row>
    <row r="50">
      <c r="A50" s="17" t="inlineStr">
        <is>
          <t>Medical</t>
        </is>
      </c>
      <c r="B50" s="18">
        <f>SUMIFS(EXPENSES!$E$5:$E$126,EXPENSES!$J$5:$J$126,A50)</f>
        <v/>
      </c>
    </row>
    <row r="51">
      <c r="A51" s="17" t="inlineStr">
        <is>
          <t>Transportation</t>
        </is>
      </c>
      <c r="B51" s="18">
        <f>SUMIFS(EXPENSES!$E$5:$E$126,EXPENSES!$J$5:$J$126,A51)</f>
        <v/>
      </c>
    </row>
    <row r="52">
      <c r="A52" s="17" t="inlineStr">
        <is>
          <t>Education</t>
        </is>
      </c>
      <c r="B52" s="18">
        <f>SUMIFS(EXPENSES!$E$5:$E$126,EXPENSES!$J$5:$J$126,A52)</f>
        <v/>
      </c>
    </row>
    <row r="53">
      <c r="A53" s="17" t="inlineStr">
        <is>
          <t>Debt payments</t>
        </is>
      </c>
      <c r="B53" s="18">
        <f>SUMIFS(EXPENSES!$E$5:$E$126,EXPENSES!$J$5:$J$126,A53)</f>
        <v/>
      </c>
    </row>
    <row r="54">
      <c r="A54" s="17" t="inlineStr">
        <is>
          <t>Clothing</t>
        </is>
      </c>
      <c r="B54" s="18">
        <f>SUMIFS(EXPENSES!$E$5:$E$126,EXPENSES!$J$5:$J$126,A54)</f>
        <v/>
      </c>
    </row>
    <row r="55">
      <c r="A55" s="17" t="inlineStr">
        <is>
          <t>Electricity, fuel</t>
        </is>
      </c>
      <c r="B55" s="18">
        <f>SUMIFS(EXPENSES!$E$5:$E$126,EXPENSES!$J$5:$J$126,A55)</f>
        <v/>
      </c>
    </row>
    <row r="56">
      <c r="A56" s="17" t="inlineStr">
        <is>
          <t>Other</t>
        </is>
      </c>
      <c r="B56" s="18">
        <f>SUMIFS(EXPENSES!$E$5:$E$126,EXPENSES!$J$5:$J$126,A56)</f>
        <v/>
      </c>
    </row>
    <row r="57">
      <c r="A57" s="2" t="inlineStr">
        <is>
          <t>Total</t>
        </is>
      </c>
      <c r="B57" s="15">
        <f>SUM(B46:B56)</f>
        <v/>
      </c>
    </row>
    <row r="58">
      <c r="A58" s="22" t="inlineStr">
        <is>
          <t>Expenses that can be reduced or eliminated</t>
        </is>
      </c>
      <c r="B58" s="18">
        <f>B8</f>
        <v/>
      </c>
    </row>
    <row r="60">
      <c r="A60" s="13" t="inlineStr">
        <is>
          <t>Liquid Funds</t>
        </is>
      </c>
      <c r="B60" s="13" t="inlineStr">
        <is>
          <t>Value</t>
        </is>
      </c>
      <c r="C60" s="13" t="inlineStr">
        <is>
          <t>Notes</t>
        </is>
      </c>
      <c r="D60" s="13" t="n"/>
    </row>
    <row r="61">
      <c r="A61" s="17" t="inlineStr">
        <is>
          <t>Liquid funds available to use</t>
        </is>
      </c>
      <c r="B61" s="18">
        <f>INCOME!$F$53</f>
        <v/>
      </c>
      <c r="C61" s="16" t="inlineStr">
        <is>
          <t>Cash, checking, savings, 401(k) after est. penalty — Income tab</t>
        </is>
      </c>
    </row>
    <row r="62">
      <c r="A62" s="17" t="inlineStr">
        <is>
          <t>Months of expenses liquid funds would cover</t>
        </is>
      </c>
      <c r="B62" s="55">
        <f>INCOME!$F$54</f>
        <v/>
      </c>
      <c r="C62" s="16" t="inlineStr">
        <is>
          <t>Below 1.0 = less than one month of cushion</t>
        </is>
      </c>
    </row>
  </sheetData>
  <mergeCells count="2">
    <mergeCell ref="A1:D1"/>
    <mergeCell ref="A2:D2"/>
  </mergeCells>
  <conditionalFormatting sqref="B7">
    <cfRule type="cellIs" priority="2" operator="lessThan" dxfId="1">
      <formula>0</formula>
    </cfRule>
    <cfRule type="cellIs" priority="3" operator="greaterThanOrEqual" dxfId="21">
      <formula>0</formula>
    </cfRule>
  </conditionalFormatting>
  <conditionalFormatting sqref="B9">
    <cfRule type="cellIs" priority="4" operator="lessThan" dxfId="1">
      <formula>0</formula>
    </cfRule>
    <cfRule type="cellIs" priority="5" operator="greaterThanOrEqual" dxfId="21">
      <formula>0</formula>
    </cfRule>
  </conditionalFormatting>
  <pageMargins left="0.75" right="0.75" top="1" bottom="1" header="0.511811023622047" footer="0.511811023622047"/>
  <pageSetup orientation="portrait" fitToHeight="0" horizontalDpi="300" verticalDpi="300"/>
</worksheet>
</file>

<file path=xl/worksheets/sheet3.xml><?xml version="1.0" encoding="utf-8"?>
<worksheet xmlns="http://schemas.openxmlformats.org/spreadsheetml/2006/main">
  <sheetPr>
    <tabColor theme="6"/>
    <outlinePr summaryBelow="1" summaryRight="1"/>
    <pageSetUpPr fitToPage="1"/>
  </sheetPr>
  <dimension ref="A1:H55"/>
  <sheetViews>
    <sheetView showGridLines="0" zoomScaleNormal="100" workbookViewId="0">
      <pane xSplit="2" ySplit="4" topLeftCell="C5" activePane="bottomRight" state="frozen"/>
      <selection pane="topRight" activeCell="C1" sqref="C1"/>
      <selection pane="bottomLeft" activeCell="A5" sqref="A5"/>
      <selection pane="bottomRight" activeCell="A1" sqref="A1:H1"/>
    </sheetView>
  </sheetViews>
  <sheetFormatPr baseColWidth="10" defaultColWidth="8.6640625" defaultRowHeight="15"/>
  <cols>
    <col width="13" customWidth="1" style="107" min="1" max="1"/>
    <col width="40" customWidth="1" style="107" min="2" max="2"/>
    <col width="20" customWidth="1" style="107" min="3" max="3"/>
    <col width="13" customWidth="1" style="107" min="4" max="4"/>
    <col width="22" customWidth="1" style="107" min="5" max="5"/>
    <col width="14" customWidth="1" style="107" min="6" max="6"/>
    <col width="18" customWidth="1" style="107" min="7" max="7"/>
    <col width="40" customWidth="1" style="107" min="8" max="8"/>
  </cols>
  <sheetData>
    <row r="1" ht="30" customHeight="1" s="107">
      <c r="A1" s="106" t="inlineStr">
        <is>
          <t>Monthly Income</t>
        </is>
      </c>
    </row>
    <row r="2" ht="42" customHeight="1" s="107">
      <c r="A2" s="111" t="inlineStr">
        <is>
          <t>Fill in the yellow cells only (blue text). Choose Frequency from the dropdown — the Monthly column converts automatically (e.g. Groceries $150 Weekly → $650.00/mo). Rename any 'Other' row to fit. Grey columns calculate on their own. Include every household member's income. Use take-home (net) pay.</t>
        </is>
      </c>
    </row>
    <row r="4" ht="30" customHeight="1" s="107">
      <c r="A4" s="13" t="inlineStr">
        <is>
          <t>Category</t>
        </is>
      </c>
      <c r="B4" s="13" t="inlineStr">
        <is>
          <t>Source</t>
        </is>
      </c>
      <c r="C4" s="13" t="inlineStr">
        <is>
          <t>Household Member</t>
        </is>
      </c>
      <c r="D4" s="13" t="inlineStr">
        <is>
          <t>Amount</t>
        </is>
      </c>
      <c r="E4" s="13" t="inlineStr">
        <is>
          <t>Frequency</t>
        </is>
      </c>
      <c r="F4" s="13" t="inlineStr">
        <is>
          <t>Monthly</t>
        </is>
      </c>
      <c r="G4" s="13" t="inlineStr">
        <is>
          <t>SRP Form Line</t>
        </is>
      </c>
      <c r="H4" s="13" t="inlineStr">
        <is>
          <t>Notes</t>
        </is>
      </c>
    </row>
    <row r="5">
      <c r="A5" s="23" t="n"/>
      <c r="B5" s="143" t="inlineStr">
        <is>
          <t>EARNED INCOME</t>
        </is>
      </c>
      <c r="C5" s="103" t="n"/>
      <c r="D5" s="120" t="n"/>
      <c r="E5" s="23" t="n"/>
      <c r="F5" s="24">
        <f>SUM(F6:F12)</f>
        <v/>
      </c>
      <c r="G5" s="23" t="n"/>
      <c r="H5" s="23" t="n"/>
    </row>
    <row r="6">
      <c r="A6" s="25" t="inlineStr">
        <is>
          <t>Earned Income</t>
        </is>
      </c>
      <c r="B6" s="17" t="inlineStr">
        <is>
          <t>Wages — primary earner</t>
        </is>
      </c>
      <c r="C6" s="68" t="n"/>
      <c r="D6" s="26" t="n"/>
      <c r="E6" s="68" t="inlineStr">
        <is>
          <t>Monthly</t>
        </is>
      </c>
      <c r="F6" s="27">
        <f>IF(D6="",0,D6*IFERROR(INDEX(LISTS!$B$2:$B$8,MATCH(E6,LISTS!$A$2:$A$8,0)),1))</f>
        <v/>
      </c>
      <c r="G6" s="28" t="inlineStr">
        <is>
          <t>Income from all household members</t>
        </is>
      </c>
      <c r="H6" s="68" t="n"/>
    </row>
    <row r="7">
      <c r="A7" s="25" t="inlineStr">
        <is>
          <t>Earned Income</t>
        </is>
      </c>
      <c r="B7" s="17" t="inlineStr">
        <is>
          <t>Wages — spouse</t>
        </is>
      </c>
      <c r="C7" s="68" t="n"/>
      <c r="D7" s="26" t="n"/>
      <c r="E7" s="68" t="inlineStr">
        <is>
          <t>Monthly</t>
        </is>
      </c>
      <c r="F7" s="27">
        <f>IF(D7="",0,D7*IFERROR(INDEX(LISTS!$B$2:$B$8,MATCH(E7,LISTS!$A$2:$A$8,0)),1))</f>
        <v/>
      </c>
      <c r="G7" s="28" t="inlineStr">
        <is>
          <t>Income from all household members</t>
        </is>
      </c>
      <c r="H7" s="68" t="n"/>
    </row>
    <row r="8">
      <c r="A8" s="25" t="inlineStr">
        <is>
          <t>Earned Income</t>
        </is>
      </c>
      <c r="B8" s="17" t="inlineStr">
        <is>
          <t>Wages — other household members</t>
        </is>
      </c>
      <c r="C8" s="68" t="n"/>
      <c r="D8" s="26" t="n"/>
      <c r="E8" s="68" t="inlineStr">
        <is>
          <t>Monthly</t>
        </is>
      </c>
      <c r="F8" s="27">
        <f>IF(D8="",0,D8*IFERROR(INDEX(LISTS!$B$2:$B$8,MATCH(E8,LISTS!$A$2:$A$8,0)),1))</f>
        <v/>
      </c>
      <c r="G8" s="28" t="inlineStr">
        <is>
          <t>Income from all household members</t>
        </is>
      </c>
      <c r="H8" s="68" t="n"/>
    </row>
    <row r="9">
      <c r="A9" s="25" t="inlineStr">
        <is>
          <t>Earned Income</t>
        </is>
      </c>
      <c r="B9" s="17" t="inlineStr">
        <is>
          <t>Tips / commissions / overtime</t>
        </is>
      </c>
      <c r="C9" s="68" t="n"/>
      <c r="D9" s="26" t="n"/>
      <c r="E9" s="68" t="inlineStr">
        <is>
          <t>Monthly</t>
        </is>
      </c>
      <c r="F9" s="27">
        <f>IF(D9="",0,D9*IFERROR(INDEX(LISTS!$B$2:$B$8,MATCH(E9,LISTS!$A$2:$A$8,0)),1))</f>
        <v/>
      </c>
      <c r="G9" s="28" t="inlineStr">
        <is>
          <t>Income from all household members</t>
        </is>
      </c>
      <c r="H9" s="68" t="n"/>
    </row>
    <row r="10">
      <c r="A10" s="25" t="inlineStr">
        <is>
          <t>Earned Income</t>
        </is>
      </c>
      <c r="B10" s="17" t="inlineStr">
        <is>
          <t>Self-employment / gig work (net)</t>
        </is>
      </c>
      <c r="C10" s="68" t="n"/>
      <c r="D10" s="26" t="n"/>
      <c r="E10" s="68" t="inlineStr">
        <is>
          <t>Monthly</t>
        </is>
      </c>
      <c r="F10" s="27">
        <f>IF(D10="",0,D10*IFERROR(INDEX(LISTS!$B$2:$B$8,MATCH(E10,LISTS!$A$2:$A$8,0)),1))</f>
        <v/>
      </c>
      <c r="G10" s="28" t="inlineStr">
        <is>
          <t>Income from all household members</t>
        </is>
      </c>
      <c r="H10" s="68" t="n"/>
    </row>
    <row r="11">
      <c r="A11" s="25" t="inlineStr">
        <is>
          <t>Earned Income</t>
        </is>
      </c>
      <c r="B11" s="17" t="inlineStr">
        <is>
          <t>Side jobs / odd jobs</t>
        </is>
      </c>
      <c r="C11" s="68" t="n"/>
      <c r="D11" s="26" t="n"/>
      <c r="E11" s="68" t="inlineStr">
        <is>
          <t>Monthly</t>
        </is>
      </c>
      <c r="F11" s="27">
        <f>IF(D11="",0,D11*IFERROR(INDEX(LISTS!$B$2:$B$8,MATCH(E11,LISTS!$A$2:$A$8,0)),1))</f>
        <v/>
      </c>
      <c r="G11" s="28" t="inlineStr">
        <is>
          <t>Income from all household members</t>
        </is>
      </c>
      <c r="H11" s="68" t="n"/>
    </row>
    <row r="12">
      <c r="A12" s="25" t="inlineStr">
        <is>
          <t>Earned Income</t>
        </is>
      </c>
      <c r="B12" s="68" t="inlineStr">
        <is>
          <t>Other (specify)</t>
        </is>
      </c>
      <c r="C12" s="68" t="n"/>
      <c r="D12" s="26" t="n"/>
      <c r="E12" s="68" t="inlineStr">
        <is>
          <t>Monthly</t>
        </is>
      </c>
      <c r="F12" s="27">
        <f>IF(D12="",0,D12*IFERROR(INDEX(LISTS!$B$2:$B$8,MATCH(E12,LISTS!$A$2:$A$8,0)),1))</f>
        <v/>
      </c>
      <c r="G12" s="28" t="inlineStr">
        <is>
          <t>Income from all household members</t>
        </is>
      </c>
      <c r="H12" s="68" t="n"/>
    </row>
    <row r="13">
      <c r="A13" s="23" t="n"/>
      <c r="B13" s="143" t="inlineStr">
        <is>
          <t>BENEFITS</t>
        </is>
      </c>
      <c r="C13" s="103" t="n"/>
      <c r="D13" s="120" t="n"/>
      <c r="E13" s="23" t="n"/>
      <c r="F13" s="24">
        <f>SUM(F14:F20)</f>
        <v/>
      </c>
      <c r="G13" s="23" t="n"/>
      <c r="H13" s="23" t="n"/>
    </row>
    <row r="14">
      <c r="A14" s="25" t="inlineStr">
        <is>
          <t>Benefits</t>
        </is>
      </c>
      <c r="B14" s="17" t="inlineStr">
        <is>
          <t>Social Security (retirement / survivor)</t>
        </is>
      </c>
      <c r="C14" s="68" t="n"/>
      <c r="D14" s="26" t="n"/>
      <c r="E14" s="68" t="inlineStr">
        <is>
          <t>Monthly</t>
        </is>
      </c>
      <c r="F14" s="27">
        <f>IF(D14="",0,D14*IFERROR(INDEX(LISTS!$B$2:$B$8,MATCH(E14,LISTS!$A$2:$A$8,0)),1))</f>
        <v/>
      </c>
      <c r="G14" s="28" t="inlineStr">
        <is>
          <t>Income from all household members</t>
        </is>
      </c>
      <c r="H14" s="68" t="n"/>
    </row>
    <row r="15">
      <c r="A15" s="25" t="inlineStr">
        <is>
          <t>Benefits</t>
        </is>
      </c>
      <c r="B15" s="17" t="inlineStr">
        <is>
          <t>SSI / SSDI</t>
        </is>
      </c>
      <c r="C15" s="68" t="n"/>
      <c r="D15" s="26" t="n"/>
      <c r="E15" s="68" t="inlineStr">
        <is>
          <t>Monthly</t>
        </is>
      </c>
      <c r="F15" s="27">
        <f>IF(D15="",0,D15*IFERROR(INDEX(LISTS!$B$2:$B$8,MATCH(E15,LISTS!$A$2:$A$8,0)),1))</f>
        <v/>
      </c>
      <c r="G15" s="28" t="inlineStr">
        <is>
          <t>Government assistance</t>
        </is>
      </c>
      <c r="H15" s="68" t="n"/>
    </row>
    <row r="16">
      <c r="A16" s="25" t="inlineStr">
        <is>
          <t>Benefits</t>
        </is>
      </c>
      <c r="B16" s="17" t="inlineStr">
        <is>
          <t>Pension / retirement withdrawals</t>
        </is>
      </c>
      <c r="C16" s="68" t="n"/>
      <c r="D16" s="26" t="n"/>
      <c r="E16" s="68" t="inlineStr">
        <is>
          <t>Monthly</t>
        </is>
      </c>
      <c r="F16" s="27">
        <f>IF(D16="",0,D16*IFERROR(INDEX(LISTS!$B$2:$B$8,MATCH(E16,LISTS!$A$2:$A$8,0)),1))</f>
        <v/>
      </c>
      <c r="G16" s="28" t="inlineStr">
        <is>
          <t>Income from all household members</t>
        </is>
      </c>
      <c r="H16" s="68" t="n"/>
    </row>
    <row r="17">
      <c r="A17" s="25" t="inlineStr">
        <is>
          <t>Benefits</t>
        </is>
      </c>
      <c r="B17" s="17" t="inlineStr">
        <is>
          <t>Unemployment</t>
        </is>
      </c>
      <c r="C17" s="68" t="n"/>
      <c r="D17" s="26" t="n"/>
      <c r="E17" s="68" t="inlineStr">
        <is>
          <t>Monthly</t>
        </is>
      </c>
      <c r="F17" s="27">
        <f>IF(D17="",0,D17*IFERROR(INDEX(LISTS!$B$2:$B$8,MATCH(E17,LISTS!$A$2:$A$8,0)),1))</f>
        <v/>
      </c>
      <c r="G17" s="28" t="inlineStr">
        <is>
          <t>Government assistance</t>
        </is>
      </c>
      <c r="H17" s="68" t="n"/>
    </row>
    <row r="18">
      <c r="A18" s="25" t="inlineStr">
        <is>
          <t>Benefits</t>
        </is>
      </c>
      <c r="B18" s="17" t="inlineStr">
        <is>
          <t>VA benefits</t>
        </is>
      </c>
      <c r="C18" s="68" t="n"/>
      <c r="D18" s="26" t="n"/>
      <c r="E18" s="68" t="inlineStr">
        <is>
          <t>Monthly</t>
        </is>
      </c>
      <c r="F18" s="27">
        <f>IF(D18="",0,D18*IFERROR(INDEX(LISTS!$B$2:$B$8,MATCH(E18,LISTS!$A$2:$A$8,0)),1))</f>
        <v/>
      </c>
      <c r="G18" s="28" t="inlineStr">
        <is>
          <t>Income from all household members</t>
        </is>
      </c>
      <c r="H18" s="68" t="n"/>
    </row>
    <row r="19">
      <c r="A19" s="25" t="inlineStr">
        <is>
          <t>Benefits</t>
        </is>
      </c>
      <c r="B19" s="17" t="inlineStr">
        <is>
          <t>Workers' comp / disability</t>
        </is>
      </c>
      <c r="C19" s="68" t="n"/>
      <c r="D19" s="26" t="n"/>
      <c r="E19" s="68" t="inlineStr">
        <is>
          <t>Monthly</t>
        </is>
      </c>
      <c r="F19" s="27">
        <f>IF(D19="",0,D19*IFERROR(INDEX(LISTS!$B$2:$B$8,MATCH(E19,LISTS!$A$2:$A$8,0)),1))</f>
        <v/>
      </c>
      <c r="G19" s="28" t="inlineStr">
        <is>
          <t>Income from all household members</t>
        </is>
      </c>
      <c r="H19" s="68" t="n"/>
    </row>
    <row r="20">
      <c r="A20" s="25" t="inlineStr">
        <is>
          <t>Benefits</t>
        </is>
      </c>
      <c r="B20" s="68" t="inlineStr">
        <is>
          <t>Other (specify)</t>
        </is>
      </c>
      <c r="C20" s="68" t="n"/>
      <c r="D20" s="26" t="n"/>
      <c r="E20" s="68" t="inlineStr">
        <is>
          <t>Monthly</t>
        </is>
      </c>
      <c r="F20" s="27">
        <f>IF(D20="",0,D20*IFERROR(INDEX(LISTS!$B$2:$B$8,MATCH(E20,LISTS!$A$2:$A$8,0)),1))</f>
        <v/>
      </c>
      <c r="G20" s="28" t="inlineStr">
        <is>
          <t>Income from all household members</t>
        </is>
      </c>
      <c r="H20" s="68" t="n"/>
    </row>
    <row r="21">
      <c r="A21" s="23" t="n"/>
      <c r="B21" s="143" t="inlineStr">
        <is>
          <t>GOVERNMENT ASSISTANCE</t>
        </is>
      </c>
      <c r="C21" s="103" t="n"/>
      <c r="D21" s="120" t="n"/>
      <c r="E21" s="23" t="n"/>
      <c r="F21" s="24">
        <f>SUM(F22:F28)</f>
        <v/>
      </c>
      <c r="G21" s="23" t="n"/>
      <c r="H21" s="23" t="n"/>
    </row>
    <row r="22">
      <c r="A22" s="25" t="inlineStr">
        <is>
          <t>Government Assistance</t>
        </is>
      </c>
      <c r="B22" s="17" t="inlineStr">
        <is>
          <t>SNAP (food stamps)</t>
        </is>
      </c>
      <c r="C22" s="68" t="n"/>
      <c r="D22" s="26" t="n"/>
      <c r="E22" s="68" t="inlineStr">
        <is>
          <t>Monthly</t>
        </is>
      </c>
      <c r="F22" s="27">
        <f>IF(D22="",0,D22*IFERROR(INDEX(LISTS!$B$2:$B$8,MATCH(E22,LISTS!$A$2:$A$8,0)),1))</f>
        <v/>
      </c>
      <c r="G22" s="28" t="inlineStr">
        <is>
          <t>Government assistance</t>
        </is>
      </c>
      <c r="H22" s="68" t="n"/>
    </row>
    <row r="23">
      <c r="A23" s="25" t="inlineStr">
        <is>
          <t>Government Assistance</t>
        </is>
      </c>
      <c r="B23" s="17" t="inlineStr">
        <is>
          <t>WIC</t>
        </is>
      </c>
      <c r="C23" s="46" t="n"/>
      <c r="D23" s="26" t="n"/>
      <c r="E23" s="68" t="inlineStr">
        <is>
          <t>Monthly</t>
        </is>
      </c>
      <c r="F23" s="27">
        <f>IF(D23="",0,D23*IFERROR(INDEX(LISTS!$B$2:$B$8,MATCH(E23,LISTS!$A$2:$A$8,0)),1))</f>
        <v/>
      </c>
      <c r="G23" s="28" t="inlineStr">
        <is>
          <t>Government assistance</t>
        </is>
      </c>
      <c r="H23" s="68" t="n"/>
    </row>
    <row r="24">
      <c r="A24" s="25" t="inlineStr">
        <is>
          <t>Government Assistance</t>
        </is>
      </c>
      <c r="B24" s="17" t="inlineStr">
        <is>
          <t>TANF / cash assistance</t>
        </is>
      </c>
      <c r="C24" s="68" t="n"/>
      <c r="D24" s="26" t="n"/>
      <c r="E24" s="68" t="inlineStr">
        <is>
          <t>Monthly</t>
        </is>
      </c>
      <c r="F24" s="27">
        <f>IF(D24="",0,D24*IFERROR(INDEX(LISTS!$B$2:$B$8,MATCH(E24,LISTS!$A$2:$A$8,0)),1))</f>
        <v/>
      </c>
      <c r="G24" s="28" t="inlineStr">
        <is>
          <t>Government assistance</t>
        </is>
      </c>
      <c r="H24" s="68" t="n"/>
    </row>
    <row r="25">
      <c r="A25" s="25" t="inlineStr">
        <is>
          <t>Government Assistance</t>
        </is>
      </c>
      <c r="B25" s="17" t="inlineStr">
        <is>
          <t>Housing assistance (Section 8, etc.)</t>
        </is>
      </c>
      <c r="C25" s="68" t="n"/>
      <c r="D25" s="26" t="n"/>
      <c r="E25" s="68" t="inlineStr">
        <is>
          <t>Monthly</t>
        </is>
      </c>
      <c r="F25" s="27">
        <f>IF(D25="",0,D25*IFERROR(INDEX(LISTS!$B$2:$B$8,MATCH(E25,LISTS!$A$2:$A$8,0)),1))</f>
        <v/>
      </c>
      <c r="G25" s="28" t="inlineStr">
        <is>
          <t>Government assistance</t>
        </is>
      </c>
      <c r="H25" s="68" t="n"/>
    </row>
    <row r="26">
      <c r="A26" s="25" t="inlineStr">
        <is>
          <t>Government Assistance</t>
        </is>
      </c>
      <c r="B26" s="17" t="inlineStr">
        <is>
          <t>Utility assistance (LIHEAP)</t>
        </is>
      </c>
      <c r="C26" s="68" t="n"/>
      <c r="D26" s="26" t="n"/>
      <c r="E26" s="68" t="inlineStr">
        <is>
          <t>Monthly</t>
        </is>
      </c>
      <c r="F26" s="27">
        <f>IF(D26="",0,D26*IFERROR(INDEX(LISTS!$B$2:$B$8,MATCH(E26,LISTS!$A$2:$A$8,0)),1))</f>
        <v/>
      </c>
      <c r="G26" s="28" t="inlineStr">
        <is>
          <t>Government assistance</t>
        </is>
      </c>
      <c r="H26" s="68" t="n"/>
    </row>
    <row r="27">
      <c r="A27" s="25" t="inlineStr">
        <is>
          <t>Government Assistance</t>
        </is>
      </c>
      <c r="B27" s="17" t="inlineStr">
        <is>
          <t>Medicaid / CHIP (value of premiums covered)</t>
        </is>
      </c>
      <c r="C27" s="68" t="n"/>
      <c r="D27" s="26" t="n"/>
      <c r="E27" s="68" t="inlineStr">
        <is>
          <t>Monthly</t>
        </is>
      </c>
      <c r="F27" s="27">
        <f>IF(D27="",0,D27*IFERROR(INDEX(LISTS!$B$2:$B$8,MATCH(E27,LISTS!$A$2:$A$8,0)),1))</f>
        <v/>
      </c>
      <c r="G27" s="28" t="inlineStr">
        <is>
          <t>Government assistance</t>
        </is>
      </c>
      <c r="H27" s="68" t="n"/>
    </row>
    <row r="28">
      <c r="A28" s="25" t="inlineStr">
        <is>
          <t>Government Assistance</t>
        </is>
      </c>
      <c r="B28" s="68" t="inlineStr">
        <is>
          <t>Other (specify)</t>
        </is>
      </c>
      <c r="C28" s="68" t="n"/>
      <c r="D28" s="26" t="n"/>
      <c r="E28" s="68" t="inlineStr">
        <is>
          <t>Monthly</t>
        </is>
      </c>
      <c r="F28" s="27">
        <f>IF(D28="",0,D28*IFERROR(INDEX(LISTS!$B$2:$B$8,MATCH(E28,LISTS!$A$2:$A$8,0)),1))</f>
        <v/>
      </c>
      <c r="G28" s="28" t="inlineStr">
        <is>
          <t>Government assistance</t>
        </is>
      </c>
      <c r="H28" s="68" t="n"/>
    </row>
    <row r="29">
      <c r="A29" s="23" t="n"/>
      <c r="B29" s="143" t="inlineStr">
        <is>
          <t>SUPPORT RECEIVED</t>
        </is>
      </c>
      <c r="C29" s="103" t="n"/>
      <c r="D29" s="120" t="n"/>
      <c r="E29" s="23" t="n"/>
      <c r="F29" s="24">
        <f>SUM(F30:F35)</f>
        <v/>
      </c>
      <c r="G29" s="23" t="n"/>
      <c r="H29" s="23" t="n"/>
    </row>
    <row r="30">
      <c r="A30" s="25" t="inlineStr">
        <is>
          <t>Support Received</t>
        </is>
      </c>
      <c r="B30" s="17" t="inlineStr">
        <is>
          <t>Child support received</t>
        </is>
      </c>
      <c r="C30" s="68" t="n"/>
      <c r="D30" s="26" t="n"/>
      <c r="E30" s="68" t="inlineStr">
        <is>
          <t>Monthly</t>
        </is>
      </c>
      <c r="F30" s="27">
        <f>IF(D30="",0,D30*IFERROR(INDEX(LISTS!$B$2:$B$8,MATCH(E30,LISTS!$A$2:$A$8,0)),1))</f>
        <v/>
      </c>
      <c r="G30" s="28" t="inlineStr">
        <is>
          <t>Other financial sources (family, others)</t>
        </is>
      </c>
      <c r="H30" s="68" t="n"/>
    </row>
    <row r="31">
      <c r="A31" s="25" t="inlineStr">
        <is>
          <t>Support Received</t>
        </is>
      </c>
      <c r="B31" s="17" t="inlineStr">
        <is>
          <t>Alimony received</t>
        </is>
      </c>
      <c r="C31" s="68" t="n"/>
      <c r="D31" s="26" t="n"/>
      <c r="E31" s="68" t="inlineStr">
        <is>
          <t>Monthly</t>
        </is>
      </c>
      <c r="F31" s="27">
        <f>IF(D31="",0,D31*IFERROR(INDEX(LISTS!$B$2:$B$8,MATCH(E31,LISTS!$A$2:$A$8,0)),1))</f>
        <v/>
      </c>
      <c r="G31" s="28" t="inlineStr">
        <is>
          <t>Other financial sources (family, others)</t>
        </is>
      </c>
      <c r="H31" s="68" t="n"/>
    </row>
    <row r="32">
      <c r="A32" s="25" t="inlineStr">
        <is>
          <t>Support Received</t>
        </is>
      </c>
      <c r="B32" s="17" t="inlineStr">
        <is>
          <t>Help from family</t>
        </is>
      </c>
      <c r="C32" s="68" t="n"/>
      <c r="D32" s="26" t="n"/>
      <c r="E32" s="68" t="inlineStr">
        <is>
          <t>Monthly</t>
        </is>
      </c>
      <c r="F32" s="27">
        <f>IF(D32="",0,D32*IFERROR(INDEX(LISTS!$B$2:$B$8,MATCH(E32,LISTS!$A$2:$A$8,0)),1))</f>
        <v/>
      </c>
      <c r="G32" s="28" t="inlineStr">
        <is>
          <t>Other financial sources (family, others)</t>
        </is>
      </c>
      <c r="H32" s="68" t="n"/>
    </row>
    <row r="33">
      <c r="A33" s="25" t="inlineStr">
        <is>
          <t>Support Received</t>
        </is>
      </c>
      <c r="B33" s="17" t="inlineStr">
        <is>
          <t>Help from friends / others</t>
        </is>
      </c>
      <c r="C33" s="68" t="n"/>
      <c r="D33" s="26" t="n"/>
      <c r="E33" s="68" t="inlineStr">
        <is>
          <t>Monthly</t>
        </is>
      </c>
      <c r="F33" s="27">
        <f>IF(D33="",0,D33*IFERROR(INDEX(LISTS!$B$2:$B$8,MATCH(E33,LISTS!$A$2:$A$8,0)),1))</f>
        <v/>
      </c>
      <c r="G33" s="28" t="inlineStr">
        <is>
          <t>Other financial sources (family, others)</t>
        </is>
      </c>
      <c r="H33" s="68" t="n"/>
    </row>
    <row r="34">
      <c r="A34" s="25" t="inlineStr">
        <is>
          <t>Support Received</t>
        </is>
      </c>
      <c r="B34" s="17" t="inlineStr">
        <is>
          <t>Current Church welfare assistance</t>
        </is>
      </c>
      <c r="C34" s="68" t="n"/>
      <c r="D34" s="26" t="n"/>
      <c r="E34" s="68" t="inlineStr">
        <is>
          <t>Monthly</t>
        </is>
      </c>
      <c r="F34" s="27">
        <f>IF(D34="",0,D34*IFERROR(INDEX(LISTS!$B$2:$B$8,MATCH(E34,LISTS!$A$2:$A$8,0)),1))</f>
        <v/>
      </c>
      <c r="G34" s="28" t="inlineStr">
        <is>
          <t>Other financial sources (family, others)</t>
        </is>
      </c>
      <c r="H34" s="68" t="n"/>
    </row>
    <row r="35">
      <c r="A35" s="25" t="inlineStr">
        <is>
          <t>Support Received</t>
        </is>
      </c>
      <c r="B35" s="68" t="inlineStr">
        <is>
          <t>Other (specify)</t>
        </is>
      </c>
      <c r="C35" s="68" t="n"/>
      <c r="D35" s="26" t="n"/>
      <c r="E35" s="68" t="inlineStr">
        <is>
          <t>Monthly</t>
        </is>
      </c>
      <c r="F35" s="27">
        <f>IF(D35="",0,D35*IFERROR(INDEX(LISTS!$B$2:$B$8,MATCH(E35,LISTS!$A$2:$A$8,0)),1))</f>
        <v/>
      </c>
      <c r="G35" s="28" t="inlineStr">
        <is>
          <t>Other financial sources (family, others)</t>
        </is>
      </c>
      <c r="H35" s="68" t="n"/>
    </row>
    <row r="36">
      <c r="A36" s="23" t="n"/>
      <c r="B36" s="143" t="inlineStr">
        <is>
          <t>OTHER INCOME</t>
        </is>
      </c>
      <c r="C36" s="103" t="n"/>
      <c r="D36" s="120" t="n"/>
      <c r="E36" s="23" t="n"/>
      <c r="F36" s="24">
        <f>SUM(F37:F40)</f>
        <v/>
      </c>
      <c r="G36" s="23" t="n"/>
      <c r="H36" s="23" t="n"/>
    </row>
    <row r="37">
      <c r="A37" s="25" t="inlineStr">
        <is>
          <t>Other Income</t>
        </is>
      </c>
      <c r="B37" s="17" t="inlineStr">
        <is>
          <t>Rental income (net)</t>
        </is>
      </c>
      <c r="C37" s="68" t="n"/>
      <c r="D37" s="26" t="n"/>
      <c r="E37" s="68" t="inlineStr">
        <is>
          <t>Monthly</t>
        </is>
      </c>
      <c r="F37" s="27">
        <f>IF(D37="",0,D37*IFERROR(INDEX(LISTS!$B$2:$B$8,MATCH(E37,LISTS!$A$2:$A$8,0)),1))</f>
        <v/>
      </c>
      <c r="G37" s="28" t="inlineStr">
        <is>
          <t>Income from all household members</t>
        </is>
      </c>
      <c r="H37" s="68" t="n"/>
    </row>
    <row r="38">
      <c r="A38" s="25" t="inlineStr">
        <is>
          <t>Other Income</t>
        </is>
      </c>
      <c r="B38" s="17" t="inlineStr">
        <is>
          <t>Tax refund (enter annual)</t>
        </is>
      </c>
      <c r="C38" s="68" t="n"/>
      <c r="D38" s="26" t="n"/>
      <c r="E38" s="68" t="inlineStr">
        <is>
          <t>Monthly</t>
        </is>
      </c>
      <c r="F38" s="27">
        <f>IF(D38="",0,D38*IFERROR(INDEX(LISTS!$B$2:$B$8,MATCH(E38,LISTS!$A$2:$A$8,0)),1))</f>
        <v/>
      </c>
      <c r="G38" s="28" t="inlineStr">
        <is>
          <t>Income from all household members</t>
        </is>
      </c>
      <c r="H38" s="68" t="n"/>
    </row>
    <row r="39">
      <c r="A39" s="25" t="inlineStr">
        <is>
          <t>Other Income</t>
        </is>
      </c>
      <c r="B39" s="17" t="inlineStr">
        <is>
          <t>Student aid / grants (living portion)</t>
        </is>
      </c>
      <c r="C39" s="68" t="n"/>
      <c r="D39" s="26" t="n"/>
      <c r="E39" s="68" t="inlineStr">
        <is>
          <t>Monthly</t>
        </is>
      </c>
      <c r="F39" s="27">
        <f>IF(D39="",0,D39*IFERROR(INDEX(LISTS!$B$2:$B$8,MATCH(E39,LISTS!$A$2:$A$8,0)),1))</f>
        <v/>
      </c>
      <c r="G39" s="28" t="inlineStr">
        <is>
          <t>Other financial sources (family, others)</t>
        </is>
      </c>
      <c r="H39" s="68" t="n"/>
    </row>
    <row r="40">
      <c r="A40" s="25" t="inlineStr">
        <is>
          <t>Other Income</t>
        </is>
      </c>
      <c r="B40" s="68" t="inlineStr">
        <is>
          <t>Other (specify)</t>
        </is>
      </c>
      <c r="C40" s="68" t="n"/>
      <c r="D40" s="26" t="n"/>
      <c r="E40" s="68" t="inlineStr">
        <is>
          <t>Monthly</t>
        </is>
      </c>
      <c r="F40" s="27">
        <f>IF(D40="",0,D40*IFERROR(INDEX(LISTS!$B$2:$B$8,MATCH(E40,LISTS!$A$2:$A$8,0)),1))</f>
        <v/>
      </c>
      <c r="G40" s="28" t="inlineStr">
        <is>
          <t>Other financial sources (family, others)</t>
        </is>
      </c>
      <c r="H40" s="68" t="n"/>
    </row>
    <row r="42">
      <c r="B42" s="136" t="inlineStr">
        <is>
          <t>TOTAL MONTHLY INCOME</t>
        </is>
      </c>
      <c r="F42" s="15">
        <f>SUMIFS(F5:F40,A5:A40,"&lt;&gt;")</f>
        <v/>
      </c>
    </row>
    <row r="44">
      <c r="A44" s="23" t="n"/>
      <c r="B44" s="143" t="inlineStr">
        <is>
          <t>LIQUID FUNDS &amp; SAVINGS  (balances on hand — not counted as monthly income)</t>
        </is>
      </c>
      <c r="C44" s="103" t="n"/>
      <c r="D44" s="120" t="n"/>
      <c r="E44" s="23" t="n"/>
      <c r="F44" s="24" t="n"/>
      <c r="G44" s="23" t="n"/>
      <c r="H44" s="23" t="n"/>
    </row>
    <row r="45" ht="30" customHeight="1" s="107">
      <c r="A45" s="119" t="inlineStr">
        <is>
          <t>Category</t>
        </is>
      </c>
      <c r="B45" s="119" t="inlineStr">
        <is>
          <t>Account / Source</t>
        </is>
      </c>
      <c r="C45" s="119" t="inlineStr">
        <is>
          <t>Household Member</t>
        </is>
      </c>
      <c r="D45" s="119" t="inlineStr">
        <is>
          <t>Current Balance</t>
        </is>
      </c>
      <c r="E45" s="119" t="inlineStr">
        <is>
          <t>Access</t>
        </is>
      </c>
      <c r="F45" s="119" t="inlineStr">
        <is>
          <t>Available to Use</t>
        </is>
      </c>
      <c r="G45" s="119" t="inlineStr">
        <is>
          <t>Est. Penalty / Tax %</t>
        </is>
      </c>
      <c r="H45" s="119" t="inlineStr">
        <is>
          <t>Notes</t>
        </is>
      </c>
    </row>
    <row r="46">
      <c r="A46" s="25" t="inlineStr">
        <is>
          <t>Liquid Funds</t>
        </is>
      </c>
      <c r="B46" s="17" t="inlineStr">
        <is>
          <t>Cash on hand</t>
        </is>
      </c>
      <c r="C46" s="68" t="n"/>
      <c r="D46" s="26" t="n"/>
      <c r="E46" s="68" t="inlineStr">
        <is>
          <t>Immediate</t>
        </is>
      </c>
      <c r="F46" s="27">
        <f>IF(D46="",0,IF(E46="Not accessible",0,D46*(1-N(G46))))</f>
        <v/>
      </c>
      <c r="G46" s="57" t="n"/>
      <c r="H46" s="105" t="n"/>
    </row>
    <row r="47">
      <c r="A47" s="25" t="inlineStr">
        <is>
          <t>Liquid Funds</t>
        </is>
      </c>
      <c r="B47" s="17" t="inlineStr">
        <is>
          <t>Checking account balance</t>
        </is>
      </c>
      <c r="C47" s="68" t="n"/>
      <c r="D47" s="26" t="n"/>
      <c r="E47" s="68" t="inlineStr">
        <is>
          <t>Immediate</t>
        </is>
      </c>
      <c r="F47" s="27">
        <f>IF(D47="",0,IF(E47="Not accessible",0,D47*(1-N(G47))))</f>
        <v/>
      </c>
      <c r="G47" s="57" t="n"/>
      <c r="H47" s="105" t="n"/>
    </row>
    <row r="48">
      <c r="A48" s="25" t="inlineStr">
        <is>
          <t>Liquid Funds</t>
        </is>
      </c>
      <c r="B48" s="17" t="inlineStr">
        <is>
          <t>Savings account balance</t>
        </is>
      </c>
      <c r="C48" s="68" t="n"/>
      <c r="D48" s="26" t="n"/>
      <c r="E48" s="68" t="inlineStr">
        <is>
          <t>Immediate</t>
        </is>
      </c>
      <c r="F48" s="27">
        <f>IF(D48="",0,IF(E48="Not accessible",0,D48*(1-N(G48))))</f>
        <v/>
      </c>
      <c r="G48" s="57" t="n"/>
      <c r="H48" s="105" t="n"/>
    </row>
    <row r="49" ht="54" customHeight="1" s="107">
      <c r="A49" s="25" t="inlineStr">
        <is>
          <t>Liquid Funds</t>
        </is>
      </c>
      <c r="B49" s="17" t="inlineStr">
        <is>
          <t>401(k) / retirement account (vested balance)</t>
        </is>
      </c>
      <c r="C49" s="68" t="n"/>
      <c r="D49" s="26" t="n"/>
      <c r="E49" s="68" t="inlineStr">
        <is>
          <t>Penalty / tax to withdraw</t>
        </is>
      </c>
      <c r="F49" s="27">
        <f>IF(D49="",0,IF(E49="Not accessible",0,D49*(1-N(G49))))</f>
        <v/>
      </c>
      <c r="G49" s="57" t="n">
        <v>0.3</v>
      </c>
      <c r="H49" s="105" t="inlineStr">
        <is>
          <t>Estimate: 10% early-withdrawal penalty + ~20% tax withholding if under 59½ — adjust. A 401(k) loan may avoid the penalty.</t>
        </is>
      </c>
    </row>
    <row r="50">
      <c r="A50" s="25" t="inlineStr">
        <is>
          <t>Liquid Funds</t>
        </is>
      </c>
      <c r="B50" s="17" t="inlineStr">
        <is>
          <t>Other savings &amp; investments (CDs, brokerage, HSA, etc.)</t>
        </is>
      </c>
      <c r="C50" s="68" t="n"/>
      <c r="D50" s="26" t="n"/>
      <c r="E50" s="68" t="inlineStr">
        <is>
          <t>Within 30 days</t>
        </is>
      </c>
      <c r="F50" s="27">
        <f>IF(D50="",0,IF(E50="Not accessible",0,D50*(1-N(G50))))</f>
        <v/>
      </c>
      <c r="G50" s="57" t="n"/>
      <c r="H50" s="105" t="n"/>
    </row>
    <row r="51">
      <c r="A51" s="25" t="inlineStr">
        <is>
          <t>Liquid Funds</t>
        </is>
      </c>
      <c r="B51" s="68" t="inlineStr">
        <is>
          <t>Other (specify)</t>
        </is>
      </c>
      <c r="C51" s="68" t="n"/>
      <c r="D51" s="26" t="n"/>
      <c r="E51" s="68" t="inlineStr">
        <is>
          <t>Immediate</t>
        </is>
      </c>
      <c r="F51" s="27">
        <f>IF(D51="",0,IF(E51="Not accessible",0,D51*(1-N(G51))))</f>
        <v/>
      </c>
      <c r="G51" s="57" t="n"/>
      <c r="H51" s="105" t="n"/>
    </row>
    <row r="53">
      <c r="B53" s="136" t="inlineStr">
        <is>
          <t>TOTAL LIQUID FUNDS AVAILABLE</t>
        </is>
      </c>
      <c r="D53" s="15">
        <f>SUM(D46:D51)</f>
        <v/>
      </c>
      <c r="F53" s="15">
        <f>SUM(F46:F51)</f>
        <v/>
      </c>
    </row>
    <row r="54">
      <c r="B54" s="128" t="inlineStr">
        <is>
          <t>Months of expenses these funds would cover</t>
        </is>
      </c>
      <c r="F54" s="59">
        <f>IFERROR(F53/EXPENSES!$E$128,0)</f>
        <v/>
      </c>
    </row>
    <row r="55">
      <c r="B55" s="60" t="inlineStr">
        <is>
          <t>Available to Use = balance less the estimated penalty/tax %; 'Not accessible' counts as $0. Balances are a snapshot — note the date in Notes.</t>
        </is>
      </c>
    </row>
  </sheetData>
  <mergeCells count="8">
    <mergeCell ref="B5:D5"/>
    <mergeCell ref="B36:D36"/>
    <mergeCell ref="A2:H2"/>
    <mergeCell ref="B13:D13"/>
    <mergeCell ref="B44:D44"/>
    <mergeCell ref="B21:D21"/>
    <mergeCell ref="A1:H1"/>
    <mergeCell ref="B29:D29"/>
  </mergeCells>
  <dataValidations count="3">
    <dataValidation sqref="E6:E12 E14:E20 E22:E28 E30:E35 E37:E40" showDropDown="0" showInputMessage="0" showErrorMessage="0" allowBlank="1" type="list">
      <formula1>LISTS!$A$2:$A$8</formula1>
    </dataValidation>
    <dataValidation sqref="G6:G12 G14:G20 G22:G28 G30:G35 G37:G40" showDropDown="0" showInputMessage="0" showErrorMessage="0" allowBlank="1" type="list">
      <formula1>LISTS!$H$2:$H$4</formula1>
    </dataValidation>
    <dataValidation sqref="E46:E51" showDropDown="0" showInputMessage="0" showErrorMessage="0" allowBlank="1" type="list">
      <formula1>LISTS!$T$2:$T$5</formula1>
    </dataValidation>
  </dataValidations>
  <pageMargins left="0.75" right="0.75" top="1" bottom="1" header="0.511811023622047" footer="0.511811023622047"/>
  <pageSetup orientation="portrait" fitToHeight="0" horizontalDpi="300" verticalDpi="300"/>
</worksheet>
</file>

<file path=xl/worksheets/sheet4.xml><?xml version="1.0" encoding="utf-8"?>
<worksheet xmlns="http://schemas.openxmlformats.org/spreadsheetml/2006/main">
  <sheetPr>
    <tabColor theme="6"/>
    <outlinePr summaryBelow="1" summaryRight="1"/>
    <pageSetUpPr fitToPage="1"/>
  </sheetPr>
  <dimension ref="A1:L129"/>
  <sheetViews>
    <sheetView showGridLines="0" zoomScaleNormal="100" workbookViewId="0">
      <pane xSplit="2" ySplit="4" topLeftCell="C17" activePane="bottomRight" state="frozen"/>
      <selection pane="topRight" activeCell="C1" sqref="C1"/>
      <selection pane="bottomLeft" activeCell="A5" sqref="A5"/>
      <selection pane="bottomRight" activeCell="A1" sqref="A1:K1"/>
    </sheetView>
  </sheetViews>
  <sheetFormatPr baseColWidth="10" defaultColWidth="8.6640625" defaultRowHeight="15"/>
  <cols>
    <col width="13" customWidth="1" style="107" min="1" max="1"/>
    <col width="42" customWidth="1" style="107" min="2" max="2"/>
    <col width="13" customWidth="1" style="107" min="3" max="5"/>
    <col width="14" customWidth="1" style="107" min="6" max="6"/>
    <col width="7.6640625" customWidth="1" style="107" min="7" max="7"/>
    <col width="7.33203125" customWidth="1" style="114" min="8" max="8"/>
    <col width="13" customWidth="1" style="107" min="9" max="9"/>
    <col width="18" customWidth="1" style="107" min="10" max="10"/>
    <col width="34" customWidth="1" style="107" min="11" max="11"/>
    <col width="9" customWidth="1" style="107" min="12" max="12"/>
  </cols>
  <sheetData>
    <row r="1" ht="30" customHeight="1" s="107">
      <c r="A1" s="106" t="inlineStr">
        <is>
          <t>Monthly Expenses</t>
        </is>
      </c>
    </row>
    <row r="2" ht="42" customHeight="1" s="107">
      <c r="A2" s="111" t="inlineStr">
        <is>
          <t>Fill in the yellow cells only (blue text). Choose Frequency from the dropdown — the Monthly column converts automatically (e.g. Groceries $150 Weekly → $650.00/mo). Rename any 'Other' row to fit. Grey columns calculate on their own. Type drives the 'could be reduced' total on the Summary. 'Form line' maps each row to the official Self-Reliance Plan form.</t>
        </is>
      </c>
    </row>
    <row r="4" ht="30" customHeight="1" s="107">
      <c r="A4" s="13" t="inlineStr">
        <is>
          <t>Category</t>
        </is>
      </c>
      <c r="B4" s="13" t="inlineStr">
        <is>
          <t>Expense</t>
        </is>
      </c>
      <c r="C4" s="13" t="inlineStr">
        <is>
          <t>Amount</t>
        </is>
      </c>
      <c r="D4" s="13" t="inlineStr">
        <is>
          <t>Frequency</t>
        </is>
      </c>
      <c r="E4" s="13" t="inlineStr">
        <is>
          <t>Monthly</t>
        </is>
      </c>
      <c r="F4" s="13" t="inlineStr">
        <is>
          <t>Type</t>
        </is>
      </c>
      <c r="G4" s="13" t="inlineStr">
        <is>
          <t>Auto Pay</t>
        </is>
      </c>
      <c r="H4" s="13" t="inlineStr">
        <is>
          <t>Due Date</t>
        </is>
      </c>
      <c r="I4" s="13" t="inlineStr">
        <is>
          <t>Past Due ($)</t>
        </is>
      </c>
      <c r="J4" s="13" t="inlineStr">
        <is>
          <t>SRP Form Line</t>
        </is>
      </c>
      <c r="K4" s="13" t="inlineStr">
        <is>
          <t>Notes</t>
        </is>
      </c>
      <c r="L4" s="13" t="inlineStr">
        <is>
          <t>Code</t>
        </is>
      </c>
    </row>
    <row r="5">
      <c r="A5" s="23" t="n"/>
      <c r="B5" s="143" t="inlineStr">
        <is>
          <t>TITHES &amp; OFFERINGS</t>
        </is>
      </c>
      <c r="C5" s="103" t="n"/>
      <c r="D5" s="120" t="n"/>
      <c r="E5" s="24">
        <f>SUM(E6:E10)</f>
        <v/>
      </c>
      <c r="F5" s="23" t="n"/>
      <c r="G5" s="23" t="n"/>
      <c r="H5" s="48" t="n"/>
      <c r="I5" s="24">
        <f>SUM(I6:I10)</f>
        <v/>
      </c>
      <c r="J5" s="23" t="n"/>
      <c r="K5" s="23" t="n"/>
      <c r="L5" s="23" t="n"/>
    </row>
    <row r="6">
      <c r="A6" s="25" t="inlineStr">
        <is>
          <t>Tithes &amp; Offerings</t>
        </is>
      </c>
      <c r="B6" s="17" t="inlineStr">
        <is>
          <t>Tithing</t>
        </is>
      </c>
      <c r="C6" s="26" t="n"/>
      <c r="D6" s="68" t="inlineStr">
        <is>
          <t>Monthly</t>
        </is>
      </c>
      <c r="E6" s="27">
        <f>IF(C6="",0,C6*IFERROR(INDEX(LISTS!$B$2:$B$8,MATCH(D6,LISTS!$A$2:$A$8,0)),1))</f>
        <v/>
      </c>
      <c r="F6" s="68" t="inlineStr">
        <is>
          <t>Essential</t>
        </is>
      </c>
      <c r="G6" s="146" t="b">
        <v>0</v>
      </c>
      <c r="H6" s="49" t="n"/>
      <c r="I6" s="26" t="n"/>
      <c r="J6" s="28" t="inlineStr">
        <is>
          <t>Tithes, offerings</t>
        </is>
      </c>
      <c r="K6" s="29" t="n"/>
      <c r="L6" s="30" t="inlineStr">
        <is>
          <t>TTH-01</t>
        </is>
      </c>
    </row>
    <row r="7">
      <c r="A7" s="25" t="inlineStr">
        <is>
          <t>Tithes &amp; Offerings</t>
        </is>
      </c>
      <c r="B7" s="17" t="inlineStr">
        <is>
          <t>Fast offering</t>
        </is>
      </c>
      <c r="C7" s="26" t="n"/>
      <c r="D7" s="68" t="inlineStr">
        <is>
          <t>Monthly</t>
        </is>
      </c>
      <c r="E7" s="27">
        <f>IF(C7="",0,C7*IFERROR(INDEX(LISTS!$B$2:$B$8,MATCH(D7,LISTS!$A$2:$A$8,0)),1))</f>
        <v/>
      </c>
      <c r="F7" s="68" t="inlineStr">
        <is>
          <t>Essential</t>
        </is>
      </c>
      <c r="G7" s="146" t="b">
        <v>0</v>
      </c>
      <c r="H7" s="49" t="n"/>
      <c r="I7" s="26" t="n"/>
      <c r="J7" s="28" t="inlineStr">
        <is>
          <t>Tithes, offerings</t>
        </is>
      </c>
      <c r="K7" s="29" t="n"/>
      <c r="L7" s="30" t="inlineStr">
        <is>
          <t>TTH-02</t>
        </is>
      </c>
    </row>
    <row r="8">
      <c r="A8" s="25" t="inlineStr">
        <is>
          <t>Tithes &amp; Offerings</t>
        </is>
      </c>
      <c r="B8" s="68" t="inlineStr">
        <is>
          <t>Other donations (missionary, humanitarian, etc.)</t>
        </is>
      </c>
      <c r="C8" s="26" t="n"/>
      <c r="D8" s="68" t="inlineStr">
        <is>
          <t>Monthly</t>
        </is>
      </c>
      <c r="E8" s="27">
        <f>IF(C8="",0,C8*IFERROR(INDEX(LISTS!$B$2:$B$8,MATCH(D8,LISTS!$A$2:$A$8,0)),1))</f>
        <v/>
      </c>
      <c r="F8" s="68" t="inlineStr">
        <is>
          <t>Important</t>
        </is>
      </c>
      <c r="G8" s="146" t="b">
        <v>0</v>
      </c>
      <c r="H8" s="49" t="n"/>
      <c r="I8" s="26" t="n"/>
      <c r="J8" s="28" t="inlineStr">
        <is>
          <t>Tithes, offerings</t>
        </is>
      </c>
      <c r="K8" s="29" t="n"/>
      <c r="L8" s="30" t="inlineStr">
        <is>
          <t>TTH-03</t>
        </is>
      </c>
    </row>
    <row r="9">
      <c r="A9" s="25" t="inlineStr">
        <is>
          <t>Tithes &amp; Offerings</t>
        </is>
      </c>
      <c r="B9" s="68" t="inlineStr">
        <is>
          <t>Other (specify)</t>
        </is>
      </c>
      <c r="C9" s="26" t="n"/>
      <c r="D9" s="68" t="inlineStr">
        <is>
          <t>Monthly</t>
        </is>
      </c>
      <c r="E9" s="27">
        <f>IF(C9="",0,C9*IFERROR(INDEX(LISTS!$B$2:$B$8,MATCH(D9,LISTS!$A$2:$A$8,0)),1))</f>
        <v/>
      </c>
      <c r="F9" s="68" t="inlineStr">
        <is>
          <t>Important</t>
        </is>
      </c>
      <c r="G9" s="146" t="b">
        <v>0</v>
      </c>
      <c r="H9" s="49" t="n"/>
      <c r="I9" s="26" t="n"/>
      <c r="J9" s="28" t="inlineStr">
        <is>
          <t>Other</t>
        </is>
      </c>
      <c r="K9" s="29" t="n"/>
      <c r="L9" s="30" t="inlineStr">
        <is>
          <t>TTH-04</t>
        </is>
      </c>
    </row>
    <row r="10">
      <c r="A10" s="25" t="inlineStr">
        <is>
          <t>Tithes &amp; Offerings</t>
        </is>
      </c>
      <c r="B10" s="68" t="inlineStr">
        <is>
          <t>Other (specify)</t>
        </is>
      </c>
      <c r="C10" s="26" t="n"/>
      <c r="D10" s="68" t="inlineStr">
        <is>
          <t>Monthly</t>
        </is>
      </c>
      <c r="E10" s="27">
        <f>IF(C10="",0,C10*IFERROR(INDEX(LISTS!$B$2:$B$8,MATCH(D10,LISTS!$A$2:$A$8,0)),1))</f>
        <v/>
      </c>
      <c r="F10" s="68" t="inlineStr">
        <is>
          <t>Important</t>
        </is>
      </c>
      <c r="G10" s="146" t="b">
        <v>0</v>
      </c>
      <c r="H10" s="49" t="n"/>
      <c r="I10" s="26" t="n"/>
      <c r="J10" s="28" t="inlineStr">
        <is>
          <t>Other</t>
        </is>
      </c>
      <c r="K10" s="29" t="n"/>
      <c r="L10" s="30" t="inlineStr">
        <is>
          <t>TTH-05</t>
        </is>
      </c>
    </row>
    <row r="11">
      <c r="A11" s="23" t="n"/>
      <c r="B11" s="143" t="inlineStr">
        <is>
          <t>HOUSING</t>
        </is>
      </c>
      <c r="C11" s="103" t="n"/>
      <c r="D11" s="120" t="n"/>
      <c r="E11" s="24">
        <f>SUM(E12:E19)</f>
        <v/>
      </c>
      <c r="F11" s="23" t="n"/>
      <c r="G11" s="23" t="n"/>
      <c r="H11" s="48" t="n"/>
      <c r="I11" s="24">
        <f>SUM(I12:I19)</f>
        <v/>
      </c>
      <c r="J11" s="23" t="n"/>
      <c r="K11" s="23" t="n"/>
      <c r="L11" s="23" t="n"/>
    </row>
    <row r="12" ht="57" customHeight="1" s="107">
      <c r="A12" s="25" t="inlineStr">
        <is>
          <t>Housing</t>
        </is>
      </c>
      <c r="B12" s="17" t="inlineStr">
        <is>
          <t>Rent or mortgage</t>
        </is>
      </c>
      <c r="C12" s="26" t="n"/>
      <c r="D12" s="68" t="inlineStr">
        <is>
          <t>Monthly</t>
        </is>
      </c>
      <c r="E12" s="27">
        <f>IF(C12="",0,C12*IFERROR(INDEX(LISTS!$B$2:$B$8,MATCH(D12,LISTS!$A$2:$A$8,0)),1))</f>
        <v/>
      </c>
      <c r="F12" s="68" t="inlineStr">
        <is>
          <t>Essential</t>
        </is>
      </c>
      <c r="G12" s="146" t="b">
        <v>0</v>
      </c>
      <c r="H12" s="49" t="n"/>
      <c r="I12" s="26" t="n"/>
      <c r="J12" s="28" t="inlineStr">
        <is>
          <t>Housing</t>
        </is>
      </c>
      <c r="K12" s="29" t="n"/>
      <c r="L12" s="30" t="inlineStr">
        <is>
          <t>HOU-01</t>
        </is>
      </c>
    </row>
    <row r="13">
      <c r="A13" s="25" t="inlineStr">
        <is>
          <t>Housing</t>
        </is>
      </c>
      <c r="B13" s="17" t="inlineStr">
        <is>
          <t>Property taxes (if not in mortgage)</t>
        </is>
      </c>
      <c r="C13" s="26" t="n"/>
      <c r="D13" s="68" t="inlineStr">
        <is>
          <t>Monthly</t>
        </is>
      </c>
      <c r="E13" s="27">
        <f>IF(C13="",0,C13*IFERROR(INDEX(LISTS!$B$2:$B$8,MATCH(D13,LISTS!$A$2:$A$8,0)),1))</f>
        <v/>
      </c>
      <c r="F13" s="68" t="inlineStr">
        <is>
          <t>Essential</t>
        </is>
      </c>
      <c r="G13" s="146" t="b">
        <v>0</v>
      </c>
      <c r="H13" s="49" t="n"/>
      <c r="I13" s="26" t="n"/>
      <c r="J13" s="28" t="inlineStr">
        <is>
          <t>Housing</t>
        </is>
      </c>
      <c r="K13" s="29" t="n"/>
      <c r="L13" s="30" t="inlineStr">
        <is>
          <t>HOU-02</t>
        </is>
      </c>
    </row>
    <row r="14">
      <c r="A14" s="25" t="inlineStr">
        <is>
          <t>Housing</t>
        </is>
      </c>
      <c r="B14" s="17" t="inlineStr">
        <is>
          <t>Homeowners / renters insurance</t>
        </is>
      </c>
      <c r="C14" s="26" t="n"/>
      <c r="D14" s="68" t="inlineStr">
        <is>
          <t>Monthly</t>
        </is>
      </c>
      <c r="E14" s="27">
        <f>IF(C14="",0,C14*IFERROR(INDEX(LISTS!$B$2:$B$8,MATCH(D14,LISTS!$A$2:$A$8,0)),1))</f>
        <v/>
      </c>
      <c r="F14" s="68" t="inlineStr">
        <is>
          <t>Essential</t>
        </is>
      </c>
      <c r="G14" s="146" t="b">
        <v>0</v>
      </c>
      <c r="H14" s="49" t="n"/>
      <c r="I14" s="26" t="n"/>
      <c r="J14" s="28" t="inlineStr">
        <is>
          <t>Housing</t>
        </is>
      </c>
      <c r="K14" s="29" t="n"/>
      <c r="L14" s="30" t="inlineStr">
        <is>
          <t>HOU-03</t>
        </is>
      </c>
    </row>
    <row r="15">
      <c r="A15" s="25" t="inlineStr">
        <is>
          <t>Housing</t>
        </is>
      </c>
      <c r="B15" s="17" t="inlineStr">
        <is>
          <t>HOA or lot rent</t>
        </is>
      </c>
      <c r="C15" s="26" t="n"/>
      <c r="D15" s="68" t="inlineStr">
        <is>
          <t>Monthly</t>
        </is>
      </c>
      <c r="E15" s="27">
        <f>IF(C15="",0,C15*IFERROR(INDEX(LISTS!$B$2:$B$8,MATCH(D15,LISTS!$A$2:$A$8,0)),1))</f>
        <v/>
      </c>
      <c r="F15" s="68" t="inlineStr">
        <is>
          <t>Essential</t>
        </is>
      </c>
      <c r="G15" s="146" t="b">
        <v>0</v>
      </c>
      <c r="H15" s="49" t="n"/>
      <c r="I15" s="26" t="n"/>
      <c r="J15" s="28" t="inlineStr">
        <is>
          <t>Housing</t>
        </is>
      </c>
      <c r="K15" s="29" t="n"/>
      <c r="L15" s="30" t="inlineStr">
        <is>
          <t>HOU-04</t>
        </is>
      </c>
    </row>
    <row r="16">
      <c r="A16" s="25" t="inlineStr">
        <is>
          <t>Housing</t>
        </is>
      </c>
      <c r="B16" s="17" t="inlineStr">
        <is>
          <t>Home repairs &amp; maintenance</t>
        </is>
      </c>
      <c r="C16" s="26" t="n"/>
      <c r="D16" s="68" t="inlineStr">
        <is>
          <t>Monthly</t>
        </is>
      </c>
      <c r="E16" s="27">
        <f>IF(C16="",0,C16*IFERROR(INDEX(LISTS!$B$2:$B$8,MATCH(D16,LISTS!$A$2:$A$8,0)),1))</f>
        <v/>
      </c>
      <c r="F16" s="68" t="inlineStr">
        <is>
          <t>Important</t>
        </is>
      </c>
      <c r="G16" s="146" t="b">
        <v>0</v>
      </c>
      <c r="H16" s="49" t="n"/>
      <c r="I16" s="26" t="n"/>
      <c r="J16" s="28" t="inlineStr">
        <is>
          <t>Housing</t>
        </is>
      </c>
      <c r="K16" s="29" t="n"/>
      <c r="L16" s="30" t="inlineStr">
        <is>
          <t>HOU-05</t>
        </is>
      </c>
    </row>
    <row r="17">
      <c r="A17" s="25" t="inlineStr">
        <is>
          <t>Housing</t>
        </is>
      </c>
      <c r="B17" s="17" t="inlineStr">
        <is>
          <t>Storage unit</t>
        </is>
      </c>
      <c r="C17" s="26" t="n"/>
      <c r="D17" s="68" t="inlineStr">
        <is>
          <t>Monthly</t>
        </is>
      </c>
      <c r="E17" s="27">
        <f>IF(C17="",0,C17*IFERROR(INDEX(LISTS!$B$2:$B$8,MATCH(D17,LISTS!$A$2:$A$8,0)),1))</f>
        <v/>
      </c>
      <c r="F17" s="68" t="inlineStr">
        <is>
          <t>Discretionary</t>
        </is>
      </c>
      <c r="G17" s="146" t="b">
        <v>0</v>
      </c>
      <c r="H17" s="49" t="n"/>
      <c r="I17" s="26" t="n"/>
      <c r="J17" s="28" t="inlineStr">
        <is>
          <t>Housing</t>
        </is>
      </c>
      <c r="K17" s="29" t="n"/>
      <c r="L17" s="30" t="inlineStr">
        <is>
          <t>HOU-06</t>
        </is>
      </c>
    </row>
    <row r="18">
      <c r="A18" s="25" t="inlineStr">
        <is>
          <t>Housing</t>
        </is>
      </c>
      <c r="B18" s="68" t="inlineStr">
        <is>
          <t>Other (specify)</t>
        </is>
      </c>
      <c r="C18" s="26" t="n"/>
      <c r="D18" s="68" t="inlineStr">
        <is>
          <t>Monthly</t>
        </is>
      </c>
      <c r="E18" s="27">
        <f>IF(C18="",0,C18*IFERROR(INDEX(LISTS!$B$2:$B$8,MATCH(D18,LISTS!$A$2:$A$8,0)),1))</f>
        <v/>
      </c>
      <c r="F18" s="68" t="inlineStr">
        <is>
          <t>Important</t>
        </is>
      </c>
      <c r="G18" s="146" t="b">
        <v>0</v>
      </c>
      <c r="H18" s="49" t="n"/>
      <c r="I18" s="26" t="n"/>
      <c r="J18" s="28" t="inlineStr">
        <is>
          <t>Other</t>
        </is>
      </c>
      <c r="K18" s="29" t="n"/>
      <c r="L18" s="30" t="inlineStr">
        <is>
          <t>HOU-07</t>
        </is>
      </c>
    </row>
    <row r="19">
      <c r="A19" s="25" t="inlineStr">
        <is>
          <t>Housing</t>
        </is>
      </c>
      <c r="B19" s="68" t="inlineStr">
        <is>
          <t>Other (specify)</t>
        </is>
      </c>
      <c r="C19" s="26" t="n"/>
      <c r="D19" s="68" t="inlineStr">
        <is>
          <t>Monthly</t>
        </is>
      </c>
      <c r="E19" s="27">
        <f>IF(C19="",0,C19*IFERROR(INDEX(LISTS!$B$2:$B$8,MATCH(D19,LISTS!$A$2:$A$8,0)),1))</f>
        <v/>
      </c>
      <c r="F19" s="68" t="inlineStr">
        <is>
          <t>Important</t>
        </is>
      </c>
      <c r="G19" s="146" t="b">
        <v>0</v>
      </c>
      <c r="H19" s="49" t="n"/>
      <c r="I19" s="26" t="n"/>
      <c r="J19" s="28" t="inlineStr">
        <is>
          <t>Other</t>
        </is>
      </c>
      <c r="K19" s="29" t="n"/>
      <c r="L19" s="30" t="inlineStr">
        <is>
          <t>HOU-08</t>
        </is>
      </c>
    </row>
    <row r="20">
      <c r="A20" s="23" t="n"/>
      <c r="B20" s="143" t="inlineStr">
        <is>
          <t>UTILITIES</t>
        </is>
      </c>
      <c r="C20" s="103" t="n"/>
      <c r="D20" s="120" t="n"/>
      <c r="E20" s="24">
        <f>SUM(E21:E29)</f>
        <v/>
      </c>
      <c r="F20" s="23" t="n"/>
      <c r="G20" s="23" t="n"/>
      <c r="H20" s="48" t="n"/>
      <c r="I20" s="24">
        <f>SUM(I21:I29)</f>
        <v/>
      </c>
      <c r="J20" s="23" t="n"/>
      <c r="K20" s="23" t="n"/>
      <c r="L20" s="23" t="n"/>
    </row>
    <row r="21">
      <c r="A21" s="25" t="inlineStr">
        <is>
          <t>Utilities</t>
        </is>
      </c>
      <c r="B21" s="17" t="inlineStr">
        <is>
          <t>Electricity</t>
        </is>
      </c>
      <c r="C21" s="26" t="n"/>
      <c r="D21" s="68" t="inlineStr">
        <is>
          <t>Monthly</t>
        </is>
      </c>
      <c r="E21" s="27">
        <f>IF(C21="",0,C21*IFERROR(INDEX(LISTS!$B$2:$B$8,MATCH(D21,LISTS!$A$2:$A$8,0)),1))</f>
        <v/>
      </c>
      <c r="F21" s="68" t="inlineStr">
        <is>
          <t>Essential</t>
        </is>
      </c>
      <c r="G21" s="146" t="b">
        <v>0</v>
      </c>
      <c r="H21" s="49" t="n"/>
      <c r="I21" s="26" t="n"/>
      <c r="J21" s="28" t="inlineStr">
        <is>
          <t>Electricity, fuel</t>
        </is>
      </c>
      <c r="K21" s="29" t="n"/>
      <c r="L21" s="30" t="inlineStr">
        <is>
          <t>UTL-01</t>
        </is>
      </c>
    </row>
    <row r="22">
      <c r="A22" s="25" t="inlineStr">
        <is>
          <t>Utilities</t>
        </is>
      </c>
      <c r="B22" s="17" t="inlineStr">
        <is>
          <t>Natural gas / propane / heating oil / wood</t>
        </is>
      </c>
      <c r="C22" s="26" t="n"/>
      <c r="D22" s="68" t="inlineStr">
        <is>
          <t>Monthly</t>
        </is>
      </c>
      <c r="E22" s="27">
        <f>IF(C22="",0,C22*IFERROR(INDEX(LISTS!$B$2:$B$8,MATCH(D22,LISTS!$A$2:$A$8,0)),1))</f>
        <v/>
      </c>
      <c r="F22" s="68" t="inlineStr">
        <is>
          <t>Essential</t>
        </is>
      </c>
      <c r="G22" s="146" t="b">
        <v>0</v>
      </c>
      <c r="H22" s="49" t="n"/>
      <c r="I22" s="26" t="n"/>
      <c r="J22" s="28" t="inlineStr">
        <is>
          <t>Electricity, fuel</t>
        </is>
      </c>
      <c r="K22" s="29" t="n"/>
      <c r="L22" s="30" t="inlineStr">
        <is>
          <t>UTL-02</t>
        </is>
      </c>
    </row>
    <row r="23">
      <c r="A23" s="25" t="inlineStr">
        <is>
          <t>Utilities</t>
        </is>
      </c>
      <c r="B23" s="17" t="inlineStr">
        <is>
          <t>Water &amp; sewer</t>
        </is>
      </c>
      <c r="C23" s="26" t="n"/>
      <c r="D23" s="68" t="inlineStr">
        <is>
          <t>Monthly</t>
        </is>
      </c>
      <c r="E23" s="27">
        <f>IF(C23="",0,C23*IFERROR(INDEX(LISTS!$B$2:$B$8,MATCH(D23,LISTS!$A$2:$A$8,0)),1))</f>
        <v/>
      </c>
      <c r="F23" s="68" t="inlineStr">
        <is>
          <t>Essential</t>
        </is>
      </c>
      <c r="G23" s="146" t="b">
        <v>0</v>
      </c>
      <c r="H23" s="49" t="n"/>
      <c r="I23" s="26" t="n"/>
      <c r="J23" s="28" t="inlineStr">
        <is>
          <t>Water</t>
        </is>
      </c>
      <c r="K23" s="29" t="n"/>
      <c r="L23" s="30" t="inlineStr">
        <is>
          <t>UTL-03</t>
        </is>
      </c>
    </row>
    <row r="24">
      <c r="A24" s="25" t="inlineStr">
        <is>
          <t>Utilities</t>
        </is>
      </c>
      <c r="B24" s="17" t="inlineStr">
        <is>
          <t>Trash</t>
        </is>
      </c>
      <c r="C24" s="26" t="n"/>
      <c r="D24" s="68" t="inlineStr">
        <is>
          <t>Monthly</t>
        </is>
      </c>
      <c r="E24" s="27">
        <f>IF(C24="",0,C24*IFERROR(INDEX(LISTS!$B$2:$B$8,MATCH(D24,LISTS!$A$2:$A$8,0)),1))</f>
        <v/>
      </c>
      <c r="F24" s="68" t="inlineStr">
        <is>
          <t>Essential</t>
        </is>
      </c>
      <c r="G24" s="146" t="b">
        <v>0</v>
      </c>
      <c r="H24" s="49" t="n"/>
      <c r="I24" s="26" t="n"/>
      <c r="J24" s="28" t="inlineStr">
        <is>
          <t>Other</t>
        </is>
      </c>
      <c r="K24" s="29" t="n"/>
      <c r="L24" s="30" t="inlineStr">
        <is>
          <t>UTL-04</t>
        </is>
      </c>
    </row>
    <row r="25" ht="29" customHeight="1" s="107">
      <c r="A25" s="25" t="inlineStr">
        <is>
          <t>Utilities</t>
        </is>
      </c>
      <c r="B25" s="17" t="inlineStr">
        <is>
          <t>Phone (cell &amp; landline)</t>
        </is>
      </c>
      <c r="C25" s="26" t="n"/>
      <c r="D25" s="68" t="inlineStr">
        <is>
          <t>Monthly</t>
        </is>
      </c>
      <c r="E25" s="27">
        <f>IF(C25="",0,C25*IFERROR(INDEX(LISTS!$B$2:$B$8,MATCH(D25,LISTS!$A$2:$A$8,0)),1))</f>
        <v/>
      </c>
      <c r="F25" s="68" t="inlineStr">
        <is>
          <t>Important</t>
        </is>
      </c>
      <c r="G25" s="146" t="b">
        <v>0</v>
      </c>
      <c r="H25" s="49" t="n"/>
      <c r="I25" s="26" t="n"/>
      <c r="J25" s="28" t="inlineStr">
        <is>
          <t>Other</t>
        </is>
      </c>
      <c r="K25" s="29" t="n"/>
      <c r="L25" s="30" t="inlineStr">
        <is>
          <t>UTL-05</t>
        </is>
      </c>
    </row>
    <row r="26">
      <c r="A26" s="25" t="inlineStr">
        <is>
          <t>Utilities</t>
        </is>
      </c>
      <c r="B26" s="17" t="inlineStr">
        <is>
          <t>Internet</t>
        </is>
      </c>
      <c r="C26" s="26" t="n"/>
      <c r="D26" s="68" t="inlineStr">
        <is>
          <t>Monthly</t>
        </is>
      </c>
      <c r="E26" s="27">
        <f>IF(C26="",0,C26*IFERROR(INDEX(LISTS!$B$2:$B$8,MATCH(D26,LISTS!$A$2:$A$8,0)),1))</f>
        <v/>
      </c>
      <c r="F26" s="68" t="inlineStr">
        <is>
          <t>Essential</t>
        </is>
      </c>
      <c r="G26" s="146" t="b">
        <v>0</v>
      </c>
      <c r="H26" s="49" t="n"/>
      <c r="I26" s="26" t="n"/>
      <c r="J26" s="28" t="inlineStr">
        <is>
          <t>Other</t>
        </is>
      </c>
      <c r="K26" s="29" t="n"/>
      <c r="L26" s="30" t="inlineStr">
        <is>
          <t>UTL-06</t>
        </is>
      </c>
    </row>
    <row r="27">
      <c r="A27" s="25" t="inlineStr">
        <is>
          <t>Utilities</t>
        </is>
      </c>
      <c r="B27" s="17" t="inlineStr">
        <is>
          <t>Cable / satellite TV</t>
        </is>
      </c>
      <c r="C27" s="26" t="n"/>
      <c r="D27" s="68" t="inlineStr">
        <is>
          <t>Monthly</t>
        </is>
      </c>
      <c r="E27" s="27">
        <f>IF(C27="",0,C27*IFERROR(INDEX(LISTS!$B$2:$B$8,MATCH(D27,LISTS!$A$2:$A$8,0)),1))</f>
        <v/>
      </c>
      <c r="F27" s="68" t="inlineStr">
        <is>
          <t>Discretionary</t>
        </is>
      </c>
      <c r="G27" s="146" t="b">
        <v>0</v>
      </c>
      <c r="H27" s="49" t="n"/>
      <c r="I27" s="26" t="n"/>
      <c r="J27" s="28" t="inlineStr">
        <is>
          <t>Other</t>
        </is>
      </c>
      <c r="K27" s="29" t="n"/>
      <c r="L27" s="30" t="inlineStr">
        <is>
          <t>UTL-07</t>
        </is>
      </c>
    </row>
    <row r="28">
      <c r="A28" s="25" t="inlineStr">
        <is>
          <t>Utilities</t>
        </is>
      </c>
      <c r="B28" s="68" t="inlineStr">
        <is>
          <t>Other (specify)</t>
        </is>
      </c>
      <c r="C28" s="26" t="n"/>
      <c r="D28" s="68" t="inlineStr">
        <is>
          <t>Monthly</t>
        </is>
      </c>
      <c r="E28" s="27">
        <f>IF(C28="",0,C28*IFERROR(INDEX(LISTS!$B$2:$B$8,MATCH(D28,LISTS!$A$2:$A$8,0)),1))</f>
        <v/>
      </c>
      <c r="F28" s="68" t="inlineStr">
        <is>
          <t>Important</t>
        </is>
      </c>
      <c r="G28" s="146" t="b">
        <v>0</v>
      </c>
      <c r="H28" s="49" t="n"/>
      <c r="I28" s="26" t="n"/>
      <c r="J28" s="28" t="inlineStr">
        <is>
          <t>Other</t>
        </is>
      </c>
      <c r="K28" s="29" t="n"/>
      <c r="L28" s="30" t="inlineStr">
        <is>
          <t>UTL-08</t>
        </is>
      </c>
    </row>
    <row r="29">
      <c r="A29" s="25" t="inlineStr">
        <is>
          <t>Utilities</t>
        </is>
      </c>
      <c r="B29" s="68" t="inlineStr">
        <is>
          <t>Other (specify)</t>
        </is>
      </c>
      <c r="C29" s="26" t="n"/>
      <c r="D29" s="68" t="inlineStr">
        <is>
          <t>Monthly</t>
        </is>
      </c>
      <c r="E29" s="27">
        <f>IF(C29="",0,C29*IFERROR(INDEX(LISTS!$B$2:$B$8,MATCH(D29,LISTS!$A$2:$A$8,0)),1))</f>
        <v/>
      </c>
      <c r="F29" s="68" t="inlineStr">
        <is>
          <t>Important</t>
        </is>
      </c>
      <c r="G29" s="146" t="b">
        <v>0</v>
      </c>
      <c r="H29" s="49" t="n"/>
      <c r="I29" s="26" t="n"/>
      <c r="J29" s="28" t="inlineStr">
        <is>
          <t>Other</t>
        </is>
      </c>
      <c r="K29" s="29" t="n"/>
      <c r="L29" s="30" t="inlineStr">
        <is>
          <t>UTL-09</t>
        </is>
      </c>
    </row>
    <row r="30">
      <c r="A30" s="23" t="n"/>
      <c r="B30" s="143" t="inlineStr">
        <is>
          <t>FOOD</t>
        </is>
      </c>
      <c r="C30" s="103" t="n"/>
      <c r="D30" s="120" t="n"/>
      <c r="E30" s="24">
        <f>SUM(E31:E36)</f>
        <v/>
      </c>
      <c r="F30" s="23" t="n"/>
      <c r="G30" s="23" t="n"/>
      <c r="H30" s="48" t="n"/>
      <c r="I30" s="24">
        <f>SUM(I31:I36)</f>
        <v/>
      </c>
      <c r="J30" s="23" t="n"/>
      <c r="K30" s="23" t="n"/>
      <c r="L30" s="23" t="n"/>
    </row>
    <row r="31" ht="29" customHeight="1" s="107">
      <c r="A31" s="25" t="inlineStr">
        <is>
          <t>Food</t>
        </is>
      </c>
      <c r="B31" s="17" t="inlineStr">
        <is>
          <t>Groceries</t>
        </is>
      </c>
      <c r="C31" s="26" t="n"/>
      <c r="D31" s="68" t="inlineStr">
        <is>
          <t>Monthly</t>
        </is>
      </c>
      <c r="E31" s="27">
        <f>IF(C31="",0,C31*IFERROR(INDEX(LISTS!$B$2:$B$8,MATCH(D31,LISTS!$A$2:$A$8,0)),1))</f>
        <v/>
      </c>
      <c r="F31" s="68" t="inlineStr">
        <is>
          <t>Essential</t>
        </is>
      </c>
      <c r="G31" s="146" t="b">
        <v>0</v>
      </c>
      <c r="H31" s="49" t="n"/>
      <c r="I31" s="26" t="n"/>
      <c r="J31" s="28" t="inlineStr">
        <is>
          <t>Food</t>
        </is>
      </c>
      <c r="K31" s="29" t="n"/>
      <c r="L31" s="30" t="inlineStr">
        <is>
          <t>FOD-01</t>
        </is>
      </c>
    </row>
    <row r="32">
      <c r="A32" s="25" t="inlineStr">
        <is>
          <t>Food</t>
        </is>
      </c>
      <c r="B32" s="17" t="inlineStr">
        <is>
          <t>Eating out &amp; fast food</t>
        </is>
      </c>
      <c r="C32" s="26" t="n"/>
      <c r="D32" s="68" t="inlineStr">
        <is>
          <t>Monthly</t>
        </is>
      </c>
      <c r="E32" s="27">
        <f>IF(C32="",0,C32*IFERROR(INDEX(LISTS!$B$2:$B$8,MATCH(D32,LISTS!$A$2:$A$8,0)),1))</f>
        <v/>
      </c>
      <c r="F32" s="68" t="inlineStr">
        <is>
          <t>Discretionary</t>
        </is>
      </c>
      <c r="G32" s="146" t="b">
        <v>0</v>
      </c>
      <c r="H32" s="49" t="n"/>
      <c r="I32" s="26" t="n"/>
      <c r="J32" s="28" t="inlineStr">
        <is>
          <t>Food</t>
        </is>
      </c>
      <c r="K32" s="29" t="n"/>
      <c r="L32" s="30" t="inlineStr">
        <is>
          <t>FOD-02</t>
        </is>
      </c>
    </row>
    <row r="33" ht="57" customHeight="1" s="107">
      <c r="A33" s="25" t="inlineStr">
        <is>
          <t>Food</t>
        </is>
      </c>
      <c r="B33" s="17" t="inlineStr">
        <is>
          <t>School lunches</t>
        </is>
      </c>
      <c r="C33" s="26" t="n"/>
      <c r="D33" s="68" t="inlineStr">
        <is>
          <t>Monthly</t>
        </is>
      </c>
      <c r="E33" s="27">
        <f>IF(C33="",0,C33*IFERROR(INDEX(LISTS!$B$2:$B$8,MATCH(D33,LISTS!$A$2:$A$8,0)),1))</f>
        <v/>
      </c>
      <c r="F33" s="68" t="inlineStr">
        <is>
          <t>Important</t>
        </is>
      </c>
      <c r="G33" s="146" t="b">
        <v>0</v>
      </c>
      <c r="H33" s="49" t="n"/>
      <c r="I33" s="26" t="n"/>
      <c r="J33" s="28" t="inlineStr">
        <is>
          <t>Food</t>
        </is>
      </c>
      <c r="K33" s="29" t="n"/>
      <c r="L33" s="30" t="inlineStr">
        <is>
          <t>FOD-03</t>
        </is>
      </c>
    </row>
    <row r="34">
      <c r="A34" s="25" t="inlineStr">
        <is>
          <t>Food</t>
        </is>
      </c>
      <c r="B34" s="17" t="inlineStr">
        <is>
          <t>Baby formula &amp; food</t>
        </is>
      </c>
      <c r="C34" s="26" t="n"/>
      <c r="D34" s="68" t="inlineStr">
        <is>
          <t>Monthly</t>
        </is>
      </c>
      <c r="E34" s="27">
        <f>IF(C34="",0,C34*IFERROR(INDEX(LISTS!$B$2:$B$8,MATCH(D34,LISTS!$A$2:$A$8,0)),1))</f>
        <v/>
      </c>
      <c r="F34" s="68" t="inlineStr">
        <is>
          <t>Essential</t>
        </is>
      </c>
      <c r="G34" s="146" t="b">
        <v>0</v>
      </c>
      <c r="H34" s="49" t="n"/>
      <c r="I34" s="26" t="n"/>
      <c r="J34" s="28" t="inlineStr">
        <is>
          <t>Food</t>
        </is>
      </c>
      <c r="K34" s="29" t="n"/>
      <c r="L34" s="30" t="inlineStr">
        <is>
          <t>FOD-04</t>
        </is>
      </c>
    </row>
    <row r="35">
      <c r="A35" s="25" t="inlineStr">
        <is>
          <t>Food</t>
        </is>
      </c>
      <c r="B35" s="68" t="inlineStr">
        <is>
          <t>Other (specify)</t>
        </is>
      </c>
      <c r="C35" s="26" t="n"/>
      <c r="D35" s="68" t="inlineStr">
        <is>
          <t>Monthly</t>
        </is>
      </c>
      <c r="E35" s="27">
        <f>IF(C35="",0,C35*IFERROR(INDEX(LISTS!$B$2:$B$8,MATCH(D35,LISTS!$A$2:$A$8,0)),1))</f>
        <v/>
      </c>
      <c r="F35" s="68" t="inlineStr">
        <is>
          <t>Important</t>
        </is>
      </c>
      <c r="G35" s="146" t="b">
        <v>0</v>
      </c>
      <c r="H35" s="49" t="n"/>
      <c r="I35" s="26" t="n"/>
      <c r="J35" s="28" t="inlineStr">
        <is>
          <t>Other</t>
        </is>
      </c>
      <c r="K35" s="29" t="n"/>
      <c r="L35" s="30" t="inlineStr">
        <is>
          <t>FOD-05</t>
        </is>
      </c>
    </row>
    <row r="36">
      <c r="A36" s="25" t="inlineStr">
        <is>
          <t>Food</t>
        </is>
      </c>
      <c r="B36" s="68" t="inlineStr">
        <is>
          <t>Other (specify)</t>
        </is>
      </c>
      <c r="C36" s="26" t="n"/>
      <c r="D36" s="68" t="inlineStr">
        <is>
          <t>Monthly</t>
        </is>
      </c>
      <c r="E36" s="27">
        <f>IF(C36="",0,C36*IFERROR(INDEX(LISTS!$B$2:$B$8,MATCH(D36,LISTS!$A$2:$A$8,0)),1))</f>
        <v/>
      </c>
      <c r="F36" s="68" t="inlineStr">
        <is>
          <t>Important</t>
        </is>
      </c>
      <c r="G36" s="146" t="b">
        <v>0</v>
      </c>
      <c r="H36" s="49" t="n"/>
      <c r="I36" s="26" t="n"/>
      <c r="J36" s="28" t="inlineStr">
        <is>
          <t>Other</t>
        </is>
      </c>
      <c r="K36" s="29" t="n"/>
      <c r="L36" s="30" t="inlineStr">
        <is>
          <t>FOD-06</t>
        </is>
      </c>
    </row>
    <row r="37">
      <c r="A37" s="23" t="n"/>
      <c r="B37" s="143" t="inlineStr">
        <is>
          <t>HOUSEHOLD &amp; PERSONAL</t>
        </is>
      </c>
      <c r="C37" s="103" t="n"/>
      <c r="D37" s="120" t="n"/>
      <c r="E37" s="24">
        <f>SUM(E38:E44)</f>
        <v/>
      </c>
      <c r="F37" s="23" t="n"/>
      <c r="G37" s="23" t="n"/>
      <c r="H37" s="48" t="n"/>
      <c r="I37" s="24">
        <f>SUM(I38:I44)</f>
        <v/>
      </c>
      <c r="J37" s="23" t="n"/>
      <c r="K37" s="23" t="n"/>
      <c r="L37" s="23" t="n"/>
    </row>
    <row r="38">
      <c r="A38" s="25" t="inlineStr">
        <is>
          <t>Household &amp; Personal</t>
        </is>
      </c>
      <c r="B38" s="17" t="inlineStr">
        <is>
          <t>Toiletries &amp; hygiene</t>
        </is>
      </c>
      <c r="C38" s="26" t="n"/>
      <c r="D38" s="68" t="inlineStr">
        <is>
          <t>Monthly</t>
        </is>
      </c>
      <c r="E38" s="27">
        <f>IF(C38="",0,C38*IFERROR(INDEX(LISTS!$B$2:$B$8,MATCH(D38,LISTS!$A$2:$A$8,0)),1))</f>
        <v/>
      </c>
      <c r="F38" s="68" t="inlineStr">
        <is>
          <t>Essential</t>
        </is>
      </c>
      <c r="G38" s="146" t="b">
        <v>0</v>
      </c>
      <c r="H38" s="49" t="n"/>
      <c r="I38" s="26" t="n"/>
      <c r="J38" s="28" t="inlineStr">
        <is>
          <t>Other</t>
        </is>
      </c>
      <c r="K38" s="29" t="n"/>
      <c r="L38" s="30" t="inlineStr">
        <is>
          <t>HHP-01</t>
        </is>
      </c>
    </row>
    <row r="39">
      <c r="A39" s="25" t="inlineStr">
        <is>
          <t>Household &amp; Personal</t>
        </is>
      </c>
      <c r="B39" s="17" t="inlineStr">
        <is>
          <t>Cleaning supplies &amp; paper goods</t>
        </is>
      </c>
      <c r="C39" s="26" t="n"/>
      <c r="D39" s="68" t="inlineStr">
        <is>
          <t>Monthly</t>
        </is>
      </c>
      <c r="E39" s="27">
        <f>IF(C39="",0,C39*IFERROR(INDEX(LISTS!$B$2:$B$8,MATCH(D39,LISTS!$A$2:$A$8,0)),1))</f>
        <v/>
      </c>
      <c r="F39" s="68" t="inlineStr">
        <is>
          <t>Essential</t>
        </is>
      </c>
      <c r="G39" s="146" t="b">
        <v>0</v>
      </c>
      <c r="H39" s="49" t="n"/>
      <c r="I39" s="26" t="n"/>
      <c r="J39" s="28" t="inlineStr">
        <is>
          <t>Other</t>
        </is>
      </c>
      <c r="K39" s="29" t="n"/>
      <c r="L39" s="30" t="inlineStr">
        <is>
          <t>HHP-02</t>
        </is>
      </c>
    </row>
    <row r="40">
      <c r="A40" s="25" t="inlineStr">
        <is>
          <t>Household &amp; Personal</t>
        </is>
      </c>
      <c r="B40" s="17" t="inlineStr">
        <is>
          <t>Laundry / laundromat</t>
        </is>
      </c>
      <c r="C40" s="26" t="n"/>
      <c r="D40" s="68" t="inlineStr">
        <is>
          <t>Monthly</t>
        </is>
      </c>
      <c r="E40" s="27">
        <f>IF(C40="",0,C40*IFERROR(INDEX(LISTS!$B$2:$B$8,MATCH(D40,LISTS!$A$2:$A$8,0)),1))</f>
        <v/>
      </c>
      <c r="F40" s="68" t="inlineStr">
        <is>
          <t>Essential</t>
        </is>
      </c>
      <c r="G40" s="146" t="b">
        <v>0</v>
      </c>
      <c r="H40" s="49" t="n"/>
      <c r="I40" s="26" t="n"/>
      <c r="J40" s="28" t="inlineStr">
        <is>
          <t>Other</t>
        </is>
      </c>
      <c r="K40" s="29" t="n"/>
      <c r="L40" s="30" t="inlineStr">
        <is>
          <t>HHP-03</t>
        </is>
      </c>
    </row>
    <row r="41">
      <c r="A41" s="25" t="inlineStr">
        <is>
          <t>Household &amp; Personal</t>
        </is>
      </c>
      <c r="B41" s="17" t="inlineStr">
        <is>
          <t>Haircuts &amp; grooming</t>
        </is>
      </c>
      <c r="C41" s="26" t="n"/>
      <c r="D41" s="68" t="inlineStr">
        <is>
          <t>Monthly</t>
        </is>
      </c>
      <c r="E41" s="27">
        <f>IF(C41="",0,C41*IFERROR(INDEX(LISTS!$B$2:$B$8,MATCH(D41,LISTS!$A$2:$A$8,0)),1))</f>
        <v/>
      </c>
      <c r="F41" s="68" t="inlineStr">
        <is>
          <t>Discretionary</t>
        </is>
      </c>
      <c r="G41" s="146" t="b">
        <v>0</v>
      </c>
      <c r="H41" s="49" t="n"/>
      <c r="I41" s="26" t="n"/>
      <c r="J41" s="28" t="inlineStr">
        <is>
          <t>Other</t>
        </is>
      </c>
      <c r="K41" s="29" t="n"/>
      <c r="L41" s="30" t="inlineStr">
        <is>
          <t>HHP-04</t>
        </is>
      </c>
    </row>
    <row r="42" ht="43" customHeight="1" s="107">
      <c r="A42" s="25" t="inlineStr">
        <is>
          <t>Household &amp; Personal</t>
        </is>
      </c>
      <c r="B42" s="52" t="inlineStr">
        <is>
          <t>Diapers &amp; Wipes</t>
        </is>
      </c>
      <c r="C42" s="26" t="n"/>
      <c r="D42" s="68" t="inlineStr">
        <is>
          <t>Monthly</t>
        </is>
      </c>
      <c r="E42" s="27">
        <f>IF(C42="",0,C42*IFERROR(INDEX(LISTS!$B$2:$B$8,MATCH(D42,LISTS!$A$2:$A$8,0)),1))</f>
        <v/>
      </c>
      <c r="F42" s="68" t="inlineStr">
        <is>
          <t>Essential</t>
        </is>
      </c>
      <c r="G42" s="146" t="b">
        <v>0</v>
      </c>
      <c r="H42" s="49" t="n"/>
      <c r="I42" s="26" t="n"/>
      <c r="J42" s="28" t="inlineStr">
        <is>
          <t>Other</t>
        </is>
      </c>
      <c r="K42" s="29" t="n"/>
      <c r="L42" s="30" t="inlineStr">
        <is>
          <t>HHP-05</t>
        </is>
      </c>
    </row>
    <row r="43">
      <c r="A43" s="25" t="inlineStr">
        <is>
          <t>Household &amp; Personal</t>
        </is>
      </c>
      <c r="B43" s="68" t="inlineStr">
        <is>
          <t>Other (specify)</t>
        </is>
      </c>
      <c r="C43" s="26" t="n"/>
      <c r="D43" s="68" t="inlineStr">
        <is>
          <t>Monthly</t>
        </is>
      </c>
      <c r="E43" s="27">
        <f>IF(C43="",0,C43*IFERROR(INDEX(LISTS!$B$2:$B$8,MATCH(D43,LISTS!$A$2:$A$8,0)),1))</f>
        <v/>
      </c>
      <c r="F43" s="68" t="inlineStr">
        <is>
          <t>Important</t>
        </is>
      </c>
      <c r="G43" s="146" t="b">
        <v>0</v>
      </c>
      <c r="H43" s="49" t="n"/>
      <c r="I43" s="26" t="n"/>
      <c r="J43" s="28" t="inlineStr">
        <is>
          <t>Other</t>
        </is>
      </c>
      <c r="K43" s="29" t="n"/>
      <c r="L43" s="30" t="inlineStr">
        <is>
          <t>HHP-06</t>
        </is>
      </c>
    </row>
    <row r="44">
      <c r="A44" s="25" t="inlineStr">
        <is>
          <t>Household &amp; Personal</t>
        </is>
      </c>
      <c r="B44" s="68" t="inlineStr">
        <is>
          <t>Other (specify)</t>
        </is>
      </c>
      <c r="C44" s="26" t="n"/>
      <c r="D44" s="68" t="inlineStr">
        <is>
          <t>Monthly</t>
        </is>
      </c>
      <c r="E44" s="27">
        <f>IF(C44="",0,C44*IFERROR(INDEX(LISTS!$B$2:$B$8,MATCH(D44,LISTS!$A$2:$A$8,0)),1))</f>
        <v/>
      </c>
      <c r="F44" s="68" t="inlineStr">
        <is>
          <t>Important</t>
        </is>
      </c>
      <c r="G44" s="146" t="b">
        <v>0</v>
      </c>
      <c r="H44" s="49" t="n"/>
      <c r="I44" s="26" t="n"/>
      <c r="J44" s="28" t="inlineStr">
        <is>
          <t>Other</t>
        </is>
      </c>
      <c r="K44" s="29" t="n"/>
      <c r="L44" s="30" t="inlineStr">
        <is>
          <t>HHP-07</t>
        </is>
      </c>
    </row>
    <row r="45">
      <c r="A45" s="23" t="n"/>
      <c r="B45" s="143" t="inlineStr">
        <is>
          <t>CLOTHING</t>
        </is>
      </c>
      <c r="C45" s="103" t="n"/>
      <c r="D45" s="120" t="n"/>
      <c r="E45" s="24">
        <f>SUM(E46:E50)</f>
        <v/>
      </c>
      <c r="F45" s="23" t="n"/>
      <c r="G45" s="23" t="n"/>
      <c r="H45" s="48" t="n"/>
      <c r="I45" s="24">
        <f>SUM(I46:I50)</f>
        <v/>
      </c>
      <c r="J45" s="23" t="n"/>
      <c r="K45" s="23" t="n"/>
      <c r="L45" s="23" t="n"/>
    </row>
    <row r="46">
      <c r="A46" s="25" t="inlineStr">
        <is>
          <t>Clothing</t>
        </is>
      </c>
      <c r="B46" s="17" t="inlineStr">
        <is>
          <t>Adult clothing &amp; shoes</t>
        </is>
      </c>
      <c r="C46" s="26" t="n"/>
      <c r="D46" s="68" t="inlineStr">
        <is>
          <t>Monthly</t>
        </is>
      </c>
      <c r="E46" s="27">
        <f>IF(C46="",0,C46*IFERROR(INDEX(LISTS!$B$2:$B$8,MATCH(D46,LISTS!$A$2:$A$8,0)),1))</f>
        <v/>
      </c>
      <c r="F46" s="68" t="inlineStr">
        <is>
          <t>Important</t>
        </is>
      </c>
      <c r="G46" s="146" t="b">
        <v>0</v>
      </c>
      <c r="H46" s="49" t="n"/>
      <c r="I46" s="26" t="n"/>
      <c r="J46" s="28" t="inlineStr">
        <is>
          <t>Clothing</t>
        </is>
      </c>
      <c r="K46" s="29" t="n"/>
      <c r="L46" s="30" t="inlineStr">
        <is>
          <t>CLO-01</t>
        </is>
      </c>
    </row>
    <row r="47">
      <c r="A47" s="25" t="inlineStr">
        <is>
          <t>Clothing</t>
        </is>
      </c>
      <c r="B47" s="17" t="inlineStr">
        <is>
          <t>Children's clothing &amp; shoes</t>
        </is>
      </c>
      <c r="C47" s="26" t="n"/>
      <c r="D47" s="68" t="inlineStr">
        <is>
          <t>Monthly</t>
        </is>
      </c>
      <c r="E47" s="27">
        <f>IF(C47="",0,C47*IFERROR(INDEX(LISTS!$B$2:$B$8,MATCH(D47,LISTS!$A$2:$A$8,0)),1))</f>
        <v/>
      </c>
      <c r="F47" s="68" t="inlineStr">
        <is>
          <t>Important</t>
        </is>
      </c>
      <c r="G47" s="146" t="b">
        <v>0</v>
      </c>
      <c r="H47" s="49" t="n"/>
      <c r="I47" s="26" t="n"/>
      <c r="J47" s="28" t="inlineStr">
        <is>
          <t>Clothing</t>
        </is>
      </c>
      <c r="K47" s="29" t="n"/>
      <c r="L47" s="30" t="inlineStr">
        <is>
          <t>CLO-02</t>
        </is>
      </c>
    </row>
    <row r="48">
      <c r="A48" s="25" t="inlineStr">
        <is>
          <t>Clothing</t>
        </is>
      </c>
      <c r="B48" s="17" t="inlineStr">
        <is>
          <t>Work uniforms &amp; boots</t>
        </is>
      </c>
      <c r="C48" s="26" t="n"/>
      <c r="D48" s="68" t="inlineStr">
        <is>
          <t>Monthly</t>
        </is>
      </c>
      <c r="E48" s="27">
        <f>IF(C48="",0,C48*IFERROR(INDEX(LISTS!$B$2:$B$8,MATCH(D48,LISTS!$A$2:$A$8,0)),1))</f>
        <v/>
      </c>
      <c r="F48" s="68" t="inlineStr">
        <is>
          <t>Essential</t>
        </is>
      </c>
      <c r="G48" s="146" t="b">
        <v>0</v>
      </c>
      <c r="H48" s="49" t="n"/>
      <c r="I48" s="26" t="n"/>
      <c r="J48" s="28" t="inlineStr">
        <is>
          <t>Clothing</t>
        </is>
      </c>
      <c r="K48" s="29" t="n"/>
      <c r="L48" s="30" t="inlineStr">
        <is>
          <t>CLO-03</t>
        </is>
      </c>
    </row>
    <row r="49">
      <c r="A49" s="25" t="inlineStr">
        <is>
          <t>Clothing</t>
        </is>
      </c>
      <c r="B49" s="68" t="inlineStr">
        <is>
          <t>Other (specify)</t>
        </is>
      </c>
      <c r="C49" s="26" t="n"/>
      <c r="D49" s="68" t="inlineStr">
        <is>
          <t>Monthly</t>
        </is>
      </c>
      <c r="E49" s="27">
        <f>IF(C49="",0,C49*IFERROR(INDEX(LISTS!$B$2:$B$8,MATCH(D49,LISTS!$A$2:$A$8,0)),1))</f>
        <v/>
      </c>
      <c r="F49" s="68" t="inlineStr">
        <is>
          <t>Important</t>
        </is>
      </c>
      <c r="G49" s="146" t="b">
        <v>0</v>
      </c>
      <c r="H49" s="49" t="n"/>
      <c r="I49" s="26" t="n"/>
      <c r="J49" s="28" t="inlineStr">
        <is>
          <t>Other</t>
        </is>
      </c>
      <c r="K49" s="29" t="n"/>
      <c r="L49" s="30" t="inlineStr">
        <is>
          <t>CLO-04</t>
        </is>
      </c>
    </row>
    <row r="50">
      <c r="A50" s="25" t="inlineStr">
        <is>
          <t>Clothing</t>
        </is>
      </c>
      <c r="B50" s="68" t="inlineStr">
        <is>
          <t>Other (specify)</t>
        </is>
      </c>
      <c r="C50" s="26" t="n"/>
      <c r="D50" s="68" t="inlineStr">
        <is>
          <t>Monthly</t>
        </is>
      </c>
      <c r="E50" s="27">
        <f>IF(C50="",0,C50*IFERROR(INDEX(LISTS!$B$2:$B$8,MATCH(D50,LISTS!$A$2:$A$8,0)),1))</f>
        <v/>
      </c>
      <c r="F50" s="68" t="inlineStr">
        <is>
          <t>Important</t>
        </is>
      </c>
      <c r="G50" s="146" t="b">
        <v>0</v>
      </c>
      <c r="H50" s="49" t="n"/>
      <c r="I50" s="26" t="n"/>
      <c r="J50" s="28" t="inlineStr">
        <is>
          <t>Other</t>
        </is>
      </c>
      <c r="K50" s="29" t="n"/>
      <c r="L50" s="30" t="inlineStr">
        <is>
          <t>CLO-05</t>
        </is>
      </c>
    </row>
    <row r="51">
      <c r="A51" s="23" t="n"/>
      <c r="B51" s="143" t="inlineStr">
        <is>
          <t>TRANSPORTATION</t>
        </is>
      </c>
      <c r="C51" s="103" t="n"/>
      <c r="D51" s="120" t="n"/>
      <c r="E51" s="24">
        <f>SUM(E52:E60)</f>
        <v/>
      </c>
      <c r="F51" s="23" t="n"/>
      <c r="G51" s="23" t="n"/>
      <c r="H51" s="48" t="n"/>
      <c r="I51" s="24">
        <f>SUM(I52:I60)</f>
        <v/>
      </c>
      <c r="J51" s="23" t="n"/>
      <c r="K51" s="23" t="n"/>
      <c r="L51" s="23" t="n"/>
    </row>
    <row r="52">
      <c r="A52" s="25" t="inlineStr">
        <is>
          <t>Transportation</t>
        </is>
      </c>
      <c r="B52" s="17" t="inlineStr">
        <is>
          <t>Car payment / lease</t>
        </is>
      </c>
      <c r="C52" s="26" t="n"/>
      <c r="D52" s="68" t="inlineStr">
        <is>
          <t>Monthly</t>
        </is>
      </c>
      <c r="E52" s="27">
        <f>IF(C52="",0,C52*IFERROR(INDEX(LISTS!$B$2:$B$8,MATCH(D52,LISTS!$A$2:$A$8,0)),1))</f>
        <v/>
      </c>
      <c r="F52" s="68" t="inlineStr">
        <is>
          <t>Essential</t>
        </is>
      </c>
      <c r="G52" s="146" t="b">
        <v>0</v>
      </c>
      <c r="H52" s="49" t="n"/>
      <c r="I52" s="26" t="n"/>
      <c r="J52" s="28" t="inlineStr">
        <is>
          <t>Transportation</t>
        </is>
      </c>
      <c r="K52" s="29" t="n"/>
      <c r="L52" s="30" t="inlineStr">
        <is>
          <t>TRN-01</t>
        </is>
      </c>
    </row>
    <row r="53">
      <c r="A53" s="25" t="inlineStr">
        <is>
          <t>Transportation</t>
        </is>
      </c>
      <c r="B53" s="17" t="inlineStr">
        <is>
          <t>Auto insurance</t>
        </is>
      </c>
      <c r="C53" s="26" t="n"/>
      <c r="D53" s="68" t="inlineStr">
        <is>
          <t>Monthly</t>
        </is>
      </c>
      <c r="E53" s="27">
        <f>IF(C53="",0,C53*IFERROR(INDEX(LISTS!$B$2:$B$8,MATCH(D53,LISTS!$A$2:$A$8,0)),1))</f>
        <v/>
      </c>
      <c r="F53" s="68" t="inlineStr">
        <is>
          <t>Essential</t>
        </is>
      </c>
      <c r="G53" s="146" t="b">
        <v>0</v>
      </c>
      <c r="H53" s="49" t="n"/>
      <c r="I53" s="26" t="n"/>
      <c r="J53" s="28" t="inlineStr">
        <is>
          <t>Transportation</t>
        </is>
      </c>
      <c r="K53" s="29" t="n"/>
      <c r="L53" s="30" t="inlineStr">
        <is>
          <t>TRN-02</t>
        </is>
      </c>
    </row>
    <row r="54" ht="43" customHeight="1" s="107">
      <c r="A54" s="25" t="inlineStr">
        <is>
          <t>Transportation</t>
        </is>
      </c>
      <c r="B54" s="17" t="inlineStr">
        <is>
          <t>Gas / fuel</t>
        </is>
      </c>
      <c r="C54" s="26" t="n"/>
      <c r="D54" s="68" t="inlineStr">
        <is>
          <t>Monthly</t>
        </is>
      </c>
      <c r="E54" s="27">
        <f>IF(C54="",0,C54*IFERROR(INDEX(LISTS!$B$2:$B$8,MATCH(D54,LISTS!$A$2:$A$8,0)),1))</f>
        <v/>
      </c>
      <c r="F54" s="68" t="inlineStr">
        <is>
          <t>Essential</t>
        </is>
      </c>
      <c r="G54" s="146" t="b">
        <v>0</v>
      </c>
      <c r="H54" s="49" t="n"/>
      <c r="I54" s="26" t="n"/>
      <c r="J54" s="28" t="inlineStr">
        <is>
          <t>Transportation</t>
        </is>
      </c>
      <c r="K54" s="29" t="n"/>
      <c r="L54" s="30" t="inlineStr">
        <is>
          <t>TRN-03</t>
        </is>
      </c>
    </row>
    <row r="55">
      <c r="A55" s="25" t="inlineStr">
        <is>
          <t>Transportation</t>
        </is>
      </c>
      <c r="B55" s="17" t="inlineStr">
        <is>
          <t>Maintenance, repairs &amp; tires</t>
        </is>
      </c>
      <c r="C55" s="26" t="n"/>
      <c r="D55" s="68" t="inlineStr">
        <is>
          <t>Monthly</t>
        </is>
      </c>
      <c r="E55" s="27">
        <f>IF(C55="",0,C55*IFERROR(INDEX(LISTS!$B$2:$B$8,MATCH(D55,LISTS!$A$2:$A$8,0)),1))</f>
        <v/>
      </c>
      <c r="F55" s="68" t="inlineStr">
        <is>
          <t>Important</t>
        </is>
      </c>
      <c r="G55" s="146" t="b">
        <v>0</v>
      </c>
      <c r="H55" s="49" t="n"/>
      <c r="I55" s="26" t="n"/>
      <c r="J55" s="28" t="inlineStr">
        <is>
          <t>Transportation</t>
        </is>
      </c>
      <c r="K55" s="29" t="n"/>
      <c r="L55" s="30" t="inlineStr">
        <is>
          <t>TRN-04</t>
        </is>
      </c>
    </row>
    <row r="56">
      <c r="A56" s="25" t="inlineStr">
        <is>
          <t>Transportation</t>
        </is>
      </c>
      <c r="B56" s="17" t="inlineStr">
        <is>
          <t>Registration, license &amp; emissions</t>
        </is>
      </c>
      <c r="C56" s="26" t="n"/>
      <c r="D56" s="68" t="inlineStr">
        <is>
          <t>Monthly</t>
        </is>
      </c>
      <c r="E56" s="27">
        <f>IF(C56="",0,C56*IFERROR(INDEX(LISTS!$B$2:$B$8,MATCH(D56,LISTS!$A$2:$A$8,0)),1))</f>
        <v/>
      </c>
      <c r="F56" s="68" t="inlineStr">
        <is>
          <t>Essential</t>
        </is>
      </c>
      <c r="G56" s="146" t="b">
        <v>0</v>
      </c>
      <c r="H56" s="49" t="n"/>
      <c r="I56" s="26" t="n"/>
      <c r="J56" s="28" t="inlineStr">
        <is>
          <t>Transportation</t>
        </is>
      </c>
      <c r="K56" s="29" t="n"/>
      <c r="L56" s="30" t="inlineStr">
        <is>
          <t>TRN-05</t>
        </is>
      </c>
    </row>
    <row r="57">
      <c r="A57" s="25" t="inlineStr">
        <is>
          <t>Transportation</t>
        </is>
      </c>
      <c r="B57" s="17" t="inlineStr">
        <is>
          <t>Public transit / rideshare</t>
        </is>
      </c>
      <c r="C57" s="26" t="n"/>
      <c r="D57" s="68" t="inlineStr">
        <is>
          <t>Monthly</t>
        </is>
      </c>
      <c r="E57" s="27">
        <f>IF(C57="",0,C57*IFERROR(INDEX(LISTS!$B$2:$B$8,MATCH(D57,LISTS!$A$2:$A$8,0)),1))</f>
        <v/>
      </c>
      <c r="F57" s="68" t="inlineStr">
        <is>
          <t>Important</t>
        </is>
      </c>
      <c r="G57" s="146" t="b">
        <v>0</v>
      </c>
      <c r="H57" s="49" t="n"/>
      <c r="I57" s="26" t="n"/>
      <c r="J57" s="28" t="inlineStr">
        <is>
          <t>Transportation</t>
        </is>
      </c>
      <c r="K57" s="29" t="n"/>
      <c r="L57" s="30" t="inlineStr">
        <is>
          <t>TRN-06</t>
        </is>
      </c>
    </row>
    <row r="58">
      <c r="A58" s="25" t="inlineStr">
        <is>
          <t>Transportation</t>
        </is>
      </c>
      <c r="B58" s="17" t="inlineStr">
        <is>
          <t>Parking &amp; tolls</t>
        </is>
      </c>
      <c r="C58" s="26" t="n"/>
      <c r="D58" s="68" t="inlineStr">
        <is>
          <t>Monthly</t>
        </is>
      </c>
      <c r="E58" s="27">
        <f>IF(C58="",0,C58*IFERROR(INDEX(LISTS!$B$2:$B$8,MATCH(D58,LISTS!$A$2:$A$8,0)),1))</f>
        <v/>
      </c>
      <c r="F58" s="68" t="inlineStr">
        <is>
          <t>Important</t>
        </is>
      </c>
      <c r="G58" s="146" t="b">
        <v>0</v>
      </c>
      <c r="H58" s="49" t="n"/>
      <c r="I58" s="26" t="n"/>
      <c r="J58" s="28" t="inlineStr">
        <is>
          <t>Transportation</t>
        </is>
      </c>
      <c r="K58" s="29" t="n"/>
      <c r="L58" s="30" t="inlineStr">
        <is>
          <t>TRN-07</t>
        </is>
      </c>
    </row>
    <row r="59">
      <c r="A59" s="25" t="inlineStr">
        <is>
          <t>Transportation</t>
        </is>
      </c>
      <c r="B59" s="68" t="inlineStr">
        <is>
          <t>Other (specify)</t>
        </is>
      </c>
      <c r="C59" s="26" t="n"/>
      <c r="D59" s="68" t="inlineStr">
        <is>
          <t>Monthly</t>
        </is>
      </c>
      <c r="E59" s="27">
        <f>IF(C59="",0,C59*IFERROR(INDEX(LISTS!$B$2:$B$8,MATCH(D59,LISTS!$A$2:$A$8,0)),1))</f>
        <v/>
      </c>
      <c r="F59" s="68" t="inlineStr">
        <is>
          <t>Important</t>
        </is>
      </c>
      <c r="G59" s="146" t="b">
        <v>0</v>
      </c>
      <c r="H59" s="49" t="n"/>
      <c r="I59" s="26" t="n"/>
      <c r="J59" s="28" t="inlineStr">
        <is>
          <t>Other</t>
        </is>
      </c>
      <c r="K59" s="29" t="n"/>
      <c r="L59" s="30" t="inlineStr">
        <is>
          <t>TRN-08</t>
        </is>
      </c>
    </row>
    <row r="60">
      <c r="A60" s="25" t="inlineStr">
        <is>
          <t>Transportation</t>
        </is>
      </c>
      <c r="B60" s="68" t="inlineStr">
        <is>
          <t>Other (specify)</t>
        </is>
      </c>
      <c r="C60" s="26" t="n"/>
      <c r="D60" s="68" t="inlineStr">
        <is>
          <t>Monthly</t>
        </is>
      </c>
      <c r="E60" s="27">
        <f>IF(C60="",0,C60*IFERROR(INDEX(LISTS!$B$2:$B$8,MATCH(D60,LISTS!$A$2:$A$8,0)),1))</f>
        <v/>
      </c>
      <c r="F60" s="68" t="inlineStr">
        <is>
          <t>Important</t>
        </is>
      </c>
      <c r="G60" s="146" t="b">
        <v>0</v>
      </c>
      <c r="H60" s="49" t="n"/>
      <c r="I60" s="26" t="n"/>
      <c r="J60" s="28" t="inlineStr">
        <is>
          <t>Other</t>
        </is>
      </c>
      <c r="K60" s="29" t="n"/>
      <c r="L60" s="30" t="inlineStr">
        <is>
          <t>TRN-09</t>
        </is>
      </c>
    </row>
    <row r="61">
      <c r="A61" s="23" t="n"/>
      <c r="B61" s="143" t="inlineStr">
        <is>
          <t>MEDICAL &amp; HEALTH</t>
        </is>
      </c>
      <c r="C61" s="103" t="n"/>
      <c r="D61" s="120" t="n"/>
      <c r="E61" s="24">
        <f>SUM(E62:E70)</f>
        <v/>
      </c>
      <c r="F61" s="23" t="n"/>
      <c r="G61" s="23" t="n"/>
      <c r="H61" s="48" t="n"/>
      <c r="I61" s="24">
        <f>SUM(I62:I70)</f>
        <v/>
      </c>
      <c r="J61" s="23" t="n"/>
      <c r="K61" s="23" t="n"/>
      <c r="L61" s="23" t="n"/>
    </row>
    <row r="62" ht="57" customHeight="1" s="107">
      <c r="A62" s="25" t="inlineStr">
        <is>
          <t>Medical &amp; Health</t>
        </is>
      </c>
      <c r="B62" s="17" t="inlineStr">
        <is>
          <t>Health insurance premiums</t>
        </is>
      </c>
      <c r="C62" s="26" t="n"/>
      <c r="D62" s="68" t="inlineStr">
        <is>
          <t>Monthly</t>
        </is>
      </c>
      <c r="E62" s="27">
        <f>IF(C62="",0,C62*IFERROR(INDEX(LISTS!$B$2:$B$8,MATCH(D62,LISTS!$A$2:$A$8,0)),1))</f>
        <v/>
      </c>
      <c r="F62" s="68" t="inlineStr">
        <is>
          <t>Essential</t>
        </is>
      </c>
      <c r="G62" s="146" t="b">
        <v>0</v>
      </c>
      <c r="H62" s="49" t="n"/>
      <c r="I62" s="26" t="n"/>
      <c r="J62" s="28" t="inlineStr">
        <is>
          <t>Medical</t>
        </is>
      </c>
      <c r="K62" s="29" t="n"/>
      <c r="L62" s="30" t="inlineStr">
        <is>
          <t>MED-01</t>
        </is>
      </c>
    </row>
    <row r="63">
      <c r="A63" s="25" t="inlineStr">
        <is>
          <t>Medical &amp; Health</t>
        </is>
      </c>
      <c r="B63" s="17" t="inlineStr">
        <is>
          <t>Copays &amp; doctor visits</t>
        </is>
      </c>
      <c r="C63" s="26" t="n"/>
      <c r="D63" s="68" t="inlineStr">
        <is>
          <t>Monthly</t>
        </is>
      </c>
      <c r="E63" s="27">
        <f>IF(C63="",0,C63*IFERROR(INDEX(LISTS!$B$2:$B$8,MATCH(D63,LISTS!$A$2:$A$8,0)),1))</f>
        <v/>
      </c>
      <c r="F63" s="68" t="inlineStr">
        <is>
          <t>Essential</t>
        </is>
      </c>
      <c r="G63" s="146" t="b">
        <v>0</v>
      </c>
      <c r="H63" s="49" t="n"/>
      <c r="I63" s="26" t="n"/>
      <c r="J63" s="28" t="inlineStr">
        <is>
          <t>Medical</t>
        </is>
      </c>
      <c r="K63" s="29" t="n"/>
      <c r="L63" s="30" t="inlineStr">
        <is>
          <t>MED-02</t>
        </is>
      </c>
    </row>
    <row r="64">
      <c r="A64" s="25" t="inlineStr">
        <is>
          <t>Medical &amp; Health</t>
        </is>
      </c>
      <c r="B64" s="17" t="inlineStr">
        <is>
          <t>Prescriptions</t>
        </is>
      </c>
      <c r="C64" s="26" t="n"/>
      <c r="D64" s="68" t="inlineStr">
        <is>
          <t>Monthly</t>
        </is>
      </c>
      <c r="E64" s="27">
        <f>IF(C64="",0,C64*IFERROR(INDEX(LISTS!$B$2:$B$8,MATCH(D64,LISTS!$A$2:$A$8,0)),1))</f>
        <v/>
      </c>
      <c r="F64" s="68" t="inlineStr">
        <is>
          <t>Essential</t>
        </is>
      </c>
      <c r="G64" s="146" t="b">
        <v>0</v>
      </c>
      <c r="H64" s="49" t="n"/>
      <c r="I64" s="26" t="n"/>
      <c r="J64" s="28" t="inlineStr">
        <is>
          <t>Medical</t>
        </is>
      </c>
      <c r="K64" s="29" t="n"/>
      <c r="L64" s="30" t="inlineStr">
        <is>
          <t>MED-03</t>
        </is>
      </c>
    </row>
    <row r="65">
      <c r="A65" s="25" t="inlineStr">
        <is>
          <t>Medical &amp; Health</t>
        </is>
      </c>
      <c r="B65" s="17" t="inlineStr">
        <is>
          <t>Dental &amp; vision</t>
        </is>
      </c>
      <c r="C65" s="26" t="n"/>
      <c r="D65" s="68" t="inlineStr">
        <is>
          <t>Monthly</t>
        </is>
      </c>
      <c r="E65" s="27">
        <f>IF(C65="",0,C65*IFERROR(INDEX(LISTS!$B$2:$B$8,MATCH(D65,LISTS!$A$2:$A$8,0)),1))</f>
        <v/>
      </c>
      <c r="F65" s="68" t="inlineStr">
        <is>
          <t>Important</t>
        </is>
      </c>
      <c r="G65" s="146" t="b">
        <v>0</v>
      </c>
      <c r="H65" s="49" t="n"/>
      <c r="I65" s="26" t="n"/>
      <c r="J65" s="28" t="inlineStr">
        <is>
          <t>Medical</t>
        </is>
      </c>
      <c r="K65" s="29" t="n"/>
      <c r="L65" s="30" t="inlineStr">
        <is>
          <t>MED-04</t>
        </is>
      </c>
    </row>
    <row r="66">
      <c r="A66" s="25" t="inlineStr">
        <is>
          <t>Medical &amp; Health</t>
        </is>
      </c>
      <c r="B66" s="17" t="inlineStr">
        <is>
          <t>Counseling</t>
        </is>
      </c>
      <c r="C66" s="26" t="n"/>
      <c r="D66" s="68" t="inlineStr">
        <is>
          <t>Monthly</t>
        </is>
      </c>
      <c r="E66" s="27">
        <f>IF(C66="",0,C66*IFERROR(INDEX(LISTS!$B$2:$B$8,MATCH(D66,LISTS!$A$2:$A$8,0)),1))</f>
        <v/>
      </c>
      <c r="F66" s="68" t="inlineStr">
        <is>
          <t>Important</t>
        </is>
      </c>
      <c r="G66" s="146" t="b">
        <v>0</v>
      </c>
      <c r="H66" s="49" t="n"/>
      <c r="I66" s="26" t="n"/>
      <c r="J66" s="28" t="inlineStr">
        <is>
          <t>Medical</t>
        </is>
      </c>
      <c r="K66" s="29" t="n"/>
      <c r="L66" s="30" t="inlineStr">
        <is>
          <t>MED-05</t>
        </is>
      </c>
    </row>
    <row r="67">
      <c r="A67" s="25" t="inlineStr">
        <is>
          <t>Medical &amp; Health</t>
        </is>
      </c>
      <c r="B67" s="17" t="inlineStr">
        <is>
          <t>Medical equipment &amp; supplies</t>
        </is>
      </c>
      <c r="C67" s="26" t="n"/>
      <c r="D67" s="68" t="inlineStr">
        <is>
          <t>Monthly</t>
        </is>
      </c>
      <c r="E67" s="27">
        <f>IF(C67="",0,C67*IFERROR(INDEX(LISTS!$B$2:$B$8,MATCH(D67,LISTS!$A$2:$A$8,0)),1))</f>
        <v/>
      </c>
      <c r="F67" s="68" t="inlineStr">
        <is>
          <t>Essential</t>
        </is>
      </c>
      <c r="G67" s="146" t="b">
        <v>0</v>
      </c>
      <c r="H67" s="49" t="n"/>
      <c r="I67" s="26" t="n"/>
      <c r="J67" s="28" t="inlineStr">
        <is>
          <t>Medical</t>
        </is>
      </c>
      <c r="K67" s="29" t="n"/>
      <c r="L67" s="30" t="inlineStr">
        <is>
          <t>MED-06</t>
        </is>
      </c>
    </row>
    <row r="68">
      <c r="A68" s="25" t="inlineStr">
        <is>
          <t>Medical &amp; Health</t>
        </is>
      </c>
      <c r="B68" s="17" t="inlineStr">
        <is>
          <t>Life / disability insurance</t>
        </is>
      </c>
      <c r="C68" s="26" t="n"/>
      <c r="D68" s="68" t="inlineStr">
        <is>
          <t>Monthly</t>
        </is>
      </c>
      <c r="E68" s="27">
        <f>IF(C68="",0,C68*IFERROR(INDEX(LISTS!$B$2:$B$8,MATCH(D68,LISTS!$A$2:$A$8,0)),1))</f>
        <v/>
      </c>
      <c r="F68" s="68" t="inlineStr">
        <is>
          <t>Important</t>
        </is>
      </c>
      <c r="G68" s="146" t="b">
        <v>0</v>
      </c>
      <c r="H68" s="49" t="n"/>
      <c r="I68" s="26" t="n"/>
      <c r="J68" s="28" t="inlineStr">
        <is>
          <t>Other</t>
        </is>
      </c>
      <c r="K68" s="29" t="n"/>
      <c r="L68" s="30" t="inlineStr">
        <is>
          <t>MED-07</t>
        </is>
      </c>
    </row>
    <row r="69">
      <c r="A69" s="25" t="inlineStr">
        <is>
          <t>Medical &amp; Health</t>
        </is>
      </c>
      <c r="B69" s="68" t="inlineStr">
        <is>
          <t>Other (specify)</t>
        </is>
      </c>
      <c r="C69" s="26" t="n"/>
      <c r="D69" s="68" t="inlineStr">
        <is>
          <t>Monthly</t>
        </is>
      </c>
      <c r="E69" s="27">
        <f>IF(C69="",0,C69*IFERROR(INDEX(LISTS!$B$2:$B$8,MATCH(D69,LISTS!$A$2:$A$8,0)),1))</f>
        <v/>
      </c>
      <c r="F69" s="68" t="inlineStr">
        <is>
          <t>Important</t>
        </is>
      </c>
      <c r="G69" s="146" t="b">
        <v>0</v>
      </c>
      <c r="H69" s="49" t="n"/>
      <c r="I69" s="26" t="n"/>
      <c r="J69" s="28" t="inlineStr">
        <is>
          <t>Other</t>
        </is>
      </c>
      <c r="K69" s="29" t="n"/>
      <c r="L69" s="30" t="inlineStr">
        <is>
          <t>MED-08</t>
        </is>
      </c>
    </row>
    <row r="70">
      <c r="A70" s="25" t="inlineStr">
        <is>
          <t>Medical &amp; Health</t>
        </is>
      </c>
      <c r="B70" s="68" t="inlineStr">
        <is>
          <t>Other (specify)</t>
        </is>
      </c>
      <c r="C70" s="26" t="n"/>
      <c r="D70" s="68" t="inlineStr">
        <is>
          <t>Monthly</t>
        </is>
      </c>
      <c r="E70" s="27">
        <f>IF(C70="",0,C70*IFERROR(INDEX(LISTS!$B$2:$B$8,MATCH(D70,LISTS!$A$2:$A$8,0)),1))</f>
        <v/>
      </c>
      <c r="F70" s="68" t="inlineStr">
        <is>
          <t>Important</t>
        </is>
      </c>
      <c r="G70" s="146" t="b">
        <v>0</v>
      </c>
      <c r="H70" s="49" t="n"/>
      <c r="I70" s="26" t="n"/>
      <c r="J70" s="28" t="inlineStr">
        <is>
          <t>Other</t>
        </is>
      </c>
      <c r="K70" s="29" t="n"/>
      <c r="L70" s="30" t="inlineStr">
        <is>
          <t>MED-09</t>
        </is>
      </c>
    </row>
    <row r="71">
      <c r="A71" s="23" t="n"/>
      <c r="B71" s="143" t="inlineStr">
        <is>
          <t>CHILDCARE &amp; DEPENDENTS</t>
        </is>
      </c>
      <c r="C71" s="103" t="n"/>
      <c r="D71" s="120" t="n"/>
      <c r="E71" s="24">
        <f>SUM(E72:E78)</f>
        <v/>
      </c>
      <c r="F71" s="23" t="n"/>
      <c r="G71" s="23" t="n"/>
      <c r="H71" s="48" t="n"/>
      <c r="I71" s="24">
        <f>SUM(I72:I78)</f>
        <v/>
      </c>
      <c r="J71" s="23" t="n"/>
      <c r="K71" s="23" t="n"/>
      <c r="L71" s="23" t="n"/>
    </row>
    <row r="72">
      <c r="A72" s="25" t="inlineStr">
        <is>
          <t>Childcare &amp; Dependents</t>
        </is>
      </c>
      <c r="B72" s="17" t="inlineStr">
        <is>
          <t>Daycare / babysitting</t>
        </is>
      </c>
      <c r="C72" s="26" t="n"/>
      <c r="D72" s="68" t="inlineStr">
        <is>
          <t>Monthly</t>
        </is>
      </c>
      <c r="E72" s="27">
        <f>IF(C72="",0,C72*IFERROR(INDEX(LISTS!$B$2:$B$8,MATCH(D72,LISTS!$A$2:$A$8,0)),1))</f>
        <v/>
      </c>
      <c r="F72" s="68" t="inlineStr">
        <is>
          <t>Essential</t>
        </is>
      </c>
      <c r="G72" s="146" t="b">
        <v>0</v>
      </c>
      <c r="H72" s="49" t="n"/>
      <c r="I72" s="26" t="n"/>
      <c r="J72" s="28" t="inlineStr">
        <is>
          <t>Other</t>
        </is>
      </c>
      <c r="K72" s="29" t="n"/>
      <c r="L72" s="30" t="inlineStr">
        <is>
          <t>CHD-01</t>
        </is>
      </c>
    </row>
    <row r="73">
      <c r="A73" s="25" t="inlineStr">
        <is>
          <t>Childcare &amp; Dependents</t>
        </is>
      </c>
      <c r="B73" s="17" t="inlineStr">
        <is>
          <t>Child support / alimony paid</t>
        </is>
      </c>
      <c r="C73" s="26" t="n"/>
      <c r="D73" s="68" t="inlineStr">
        <is>
          <t>Monthly</t>
        </is>
      </c>
      <c r="E73" s="27">
        <f>IF(C73="",0,C73*IFERROR(INDEX(LISTS!$B$2:$B$8,MATCH(D73,LISTS!$A$2:$A$8,0)),1))</f>
        <v/>
      </c>
      <c r="F73" s="68" t="inlineStr">
        <is>
          <t>Essential</t>
        </is>
      </c>
      <c r="G73" s="146" t="b">
        <v>0</v>
      </c>
      <c r="H73" s="49" t="n"/>
      <c r="I73" s="26" t="n"/>
      <c r="J73" s="28" t="inlineStr">
        <is>
          <t>Other</t>
        </is>
      </c>
      <c r="K73" s="29" t="n"/>
      <c r="L73" s="30" t="inlineStr">
        <is>
          <t>CHD-02</t>
        </is>
      </c>
    </row>
    <row r="74">
      <c r="A74" s="25" t="inlineStr">
        <is>
          <t>Childcare &amp; Dependents</t>
        </is>
      </c>
      <c r="B74" s="17" t="inlineStr">
        <is>
          <t>Support for aging parents / relatives</t>
        </is>
      </c>
      <c r="C74" s="26" t="n"/>
      <c r="D74" s="68" t="inlineStr">
        <is>
          <t>Monthly</t>
        </is>
      </c>
      <c r="E74" s="27">
        <f>IF(C74="",0,C74*IFERROR(INDEX(LISTS!$B$2:$B$8,MATCH(D74,LISTS!$A$2:$A$8,0)),1))</f>
        <v/>
      </c>
      <c r="F74" s="68" t="inlineStr">
        <is>
          <t>Important</t>
        </is>
      </c>
      <c r="G74" s="146" t="b">
        <v>0</v>
      </c>
      <c r="H74" s="49" t="n"/>
      <c r="I74" s="26" t="n"/>
      <c r="J74" s="28" t="inlineStr">
        <is>
          <t>Other</t>
        </is>
      </c>
      <c r="K74" s="29" t="n"/>
      <c r="L74" s="30" t="inlineStr">
        <is>
          <t>CHD-03</t>
        </is>
      </c>
    </row>
    <row r="75" ht="43" customHeight="1" s="107">
      <c r="A75" s="25" t="inlineStr">
        <is>
          <t>Childcare &amp; Dependents</t>
        </is>
      </c>
      <c r="B75" s="17" t="inlineStr">
        <is>
          <t>Children's activities &amp; sports</t>
        </is>
      </c>
      <c r="C75" s="26" t="n"/>
      <c r="D75" s="68" t="inlineStr">
        <is>
          <t>Monthly</t>
        </is>
      </c>
      <c r="E75" s="27">
        <f>IF(C75="",0,C75*IFERROR(INDEX(LISTS!$B$2:$B$8,MATCH(D75,LISTS!$A$2:$A$8,0)),1))</f>
        <v/>
      </c>
      <c r="F75" s="68" t="inlineStr">
        <is>
          <t>Discretionary</t>
        </is>
      </c>
      <c r="G75" s="146" t="b">
        <v>0</v>
      </c>
      <c r="H75" s="49" t="n"/>
      <c r="I75" s="26" t="n"/>
      <c r="J75" s="28" t="inlineStr">
        <is>
          <t>Other</t>
        </is>
      </c>
      <c r="K75" s="29" t="n"/>
      <c r="L75" s="30" t="inlineStr">
        <is>
          <t>CHD-04</t>
        </is>
      </c>
    </row>
    <row r="76">
      <c r="A76" s="25" t="inlineStr">
        <is>
          <t>Childcare &amp; Dependents</t>
        </is>
      </c>
      <c r="B76" s="17" t="inlineStr">
        <is>
          <t>Allowances</t>
        </is>
      </c>
      <c r="C76" s="26" t="n"/>
      <c r="D76" s="68" t="inlineStr">
        <is>
          <t>Monthly</t>
        </is>
      </c>
      <c r="E76" s="27">
        <f>IF(C76="",0,C76*IFERROR(INDEX(LISTS!$B$2:$B$8,MATCH(D76,LISTS!$A$2:$A$8,0)),1))</f>
        <v/>
      </c>
      <c r="F76" s="68" t="inlineStr">
        <is>
          <t>Discretionary</t>
        </is>
      </c>
      <c r="G76" s="146" t="b">
        <v>0</v>
      </c>
      <c r="H76" s="49" t="n"/>
      <c r="I76" s="26" t="n"/>
      <c r="J76" s="28" t="inlineStr">
        <is>
          <t>Other</t>
        </is>
      </c>
      <c r="K76" s="29" t="n"/>
      <c r="L76" s="30" t="inlineStr">
        <is>
          <t>CHD-05</t>
        </is>
      </c>
    </row>
    <row r="77">
      <c r="A77" s="25" t="inlineStr">
        <is>
          <t>Childcare &amp; Dependents</t>
        </is>
      </c>
      <c r="B77" s="68" t="inlineStr">
        <is>
          <t>Other (specify)</t>
        </is>
      </c>
      <c r="C77" s="26" t="n"/>
      <c r="D77" s="68" t="inlineStr">
        <is>
          <t>Monthly</t>
        </is>
      </c>
      <c r="E77" s="27">
        <f>IF(C77="",0,C77*IFERROR(INDEX(LISTS!$B$2:$B$8,MATCH(D77,LISTS!$A$2:$A$8,0)),1))</f>
        <v/>
      </c>
      <c r="F77" s="68" t="inlineStr">
        <is>
          <t>Important</t>
        </is>
      </c>
      <c r="G77" s="146" t="b">
        <v>0</v>
      </c>
      <c r="H77" s="49" t="n"/>
      <c r="I77" s="26" t="n"/>
      <c r="J77" s="28" t="inlineStr">
        <is>
          <t>Other</t>
        </is>
      </c>
      <c r="K77" s="29" t="n"/>
      <c r="L77" s="30" t="inlineStr">
        <is>
          <t>CHD-06</t>
        </is>
      </c>
    </row>
    <row r="78">
      <c r="A78" s="25" t="inlineStr">
        <is>
          <t>Childcare &amp; Dependents</t>
        </is>
      </c>
      <c r="B78" s="68" t="inlineStr">
        <is>
          <t>Other (specify)</t>
        </is>
      </c>
      <c r="C78" s="26" t="n"/>
      <c r="D78" s="68" t="inlineStr">
        <is>
          <t>Monthly</t>
        </is>
      </c>
      <c r="E78" s="27">
        <f>IF(C78="",0,C78*IFERROR(INDEX(LISTS!$B$2:$B$8,MATCH(D78,LISTS!$A$2:$A$8,0)),1))</f>
        <v/>
      </c>
      <c r="F78" s="68" t="inlineStr">
        <is>
          <t>Important</t>
        </is>
      </c>
      <c r="G78" s="146" t="b">
        <v>0</v>
      </c>
      <c r="H78" s="49" t="n"/>
      <c r="I78" s="26" t="n"/>
      <c r="J78" s="28" t="inlineStr">
        <is>
          <t>Other</t>
        </is>
      </c>
      <c r="K78" s="29" t="n"/>
      <c r="L78" s="30" t="inlineStr">
        <is>
          <t>CHD-07</t>
        </is>
      </c>
    </row>
    <row r="79">
      <c r="A79" s="23" t="n"/>
      <c r="B79" s="143" t="inlineStr">
        <is>
          <t>EDUCATION</t>
        </is>
      </c>
      <c r="C79" s="103" t="n"/>
      <c r="D79" s="120" t="n"/>
      <c r="E79" s="24">
        <f>SUM(E80:E85)</f>
        <v/>
      </c>
      <c r="F79" s="23" t="n"/>
      <c r="G79" s="23" t="n"/>
      <c r="H79" s="48" t="n"/>
      <c r="I79" s="24">
        <f>SUM(I80:I85)</f>
        <v/>
      </c>
      <c r="J79" s="23" t="n"/>
      <c r="K79" s="23" t="n"/>
      <c r="L79" s="23" t="n"/>
    </row>
    <row r="80">
      <c r="A80" s="25" t="inlineStr">
        <is>
          <t>Education</t>
        </is>
      </c>
      <c r="B80" s="17" t="inlineStr">
        <is>
          <t>Tuition &amp; fees</t>
        </is>
      </c>
      <c r="C80" s="26" t="n"/>
      <c r="D80" s="68" t="inlineStr">
        <is>
          <t>Monthly</t>
        </is>
      </c>
      <c r="E80" s="27">
        <f>IF(C80="",0,C80*IFERROR(INDEX(LISTS!$B$2:$B$8,MATCH(D80,LISTS!$A$2:$A$8,0)),1))</f>
        <v/>
      </c>
      <c r="F80" s="68" t="inlineStr">
        <is>
          <t>Important</t>
        </is>
      </c>
      <c r="G80" s="146" t="b">
        <v>0</v>
      </c>
      <c r="H80" s="49" t="n"/>
      <c r="I80" s="26" t="n"/>
      <c r="J80" s="28" t="inlineStr">
        <is>
          <t>Education</t>
        </is>
      </c>
      <c r="K80" s="29" t="n"/>
      <c r="L80" s="30" t="inlineStr">
        <is>
          <t>EDU-01</t>
        </is>
      </c>
    </row>
    <row r="81">
      <c r="A81" s="25" t="inlineStr">
        <is>
          <t>Education</t>
        </is>
      </c>
      <c r="B81" s="17" t="inlineStr">
        <is>
          <t>Books &amp; supplies</t>
        </is>
      </c>
      <c r="C81" s="26" t="n"/>
      <c r="D81" s="68" t="inlineStr">
        <is>
          <t>Monthly</t>
        </is>
      </c>
      <c r="E81" s="27">
        <f>IF(C81="",0,C81*IFERROR(INDEX(LISTS!$B$2:$B$8,MATCH(D81,LISTS!$A$2:$A$8,0)),1))</f>
        <v/>
      </c>
      <c r="F81" s="68" t="inlineStr">
        <is>
          <t>Important</t>
        </is>
      </c>
      <c r="G81" s="146" t="b">
        <v>0</v>
      </c>
      <c r="H81" s="49" t="n"/>
      <c r="I81" s="26" t="n"/>
      <c r="J81" s="28" t="inlineStr">
        <is>
          <t>Education</t>
        </is>
      </c>
      <c r="K81" s="29" t="n"/>
      <c r="L81" s="30" t="inlineStr">
        <is>
          <t>EDU-02</t>
        </is>
      </c>
    </row>
    <row r="82">
      <c r="A82" s="25" t="inlineStr">
        <is>
          <t>Education</t>
        </is>
      </c>
      <c r="B82" s="17" t="inlineStr">
        <is>
          <t>School fees &amp; field trips</t>
        </is>
      </c>
      <c r="C82" s="26" t="n"/>
      <c r="D82" s="68" t="inlineStr">
        <is>
          <t>Monthly</t>
        </is>
      </c>
      <c r="E82" s="27">
        <f>IF(C82="",0,C82*IFERROR(INDEX(LISTS!$B$2:$B$8,MATCH(D82,LISTS!$A$2:$A$8,0)),1))</f>
        <v/>
      </c>
      <c r="F82" s="68" t="inlineStr">
        <is>
          <t>Important</t>
        </is>
      </c>
      <c r="G82" s="146" t="b">
        <v>0</v>
      </c>
      <c r="H82" s="49" t="n"/>
      <c r="I82" s="26" t="n"/>
      <c r="J82" s="28" t="inlineStr">
        <is>
          <t>Education</t>
        </is>
      </c>
      <c r="K82" s="29" t="n"/>
      <c r="L82" s="30" t="inlineStr">
        <is>
          <t>EDU-03</t>
        </is>
      </c>
    </row>
    <row r="83">
      <c r="A83" s="25" t="inlineStr">
        <is>
          <t>Education</t>
        </is>
      </c>
      <c r="B83" s="17" t="inlineStr">
        <is>
          <t>Training &amp; certifications</t>
        </is>
      </c>
      <c r="C83" s="26" t="n"/>
      <c r="D83" s="68" t="inlineStr">
        <is>
          <t>Monthly</t>
        </is>
      </c>
      <c r="E83" s="27">
        <f>IF(C83="",0,C83*IFERROR(INDEX(LISTS!$B$2:$B$8,MATCH(D83,LISTS!$A$2:$A$8,0)),1))</f>
        <v/>
      </c>
      <c r="F83" s="68" t="inlineStr">
        <is>
          <t>Important</t>
        </is>
      </c>
      <c r="G83" s="146" t="b">
        <v>0</v>
      </c>
      <c r="H83" s="49" t="n"/>
      <c r="I83" s="26" t="n"/>
      <c r="J83" s="28" t="inlineStr">
        <is>
          <t>Education</t>
        </is>
      </c>
      <c r="K83" s="29" t="n"/>
      <c r="L83" s="30" t="inlineStr">
        <is>
          <t>EDU-04</t>
        </is>
      </c>
    </row>
    <row r="84">
      <c r="A84" s="25" t="inlineStr">
        <is>
          <t>Education</t>
        </is>
      </c>
      <c r="B84" s="68" t="inlineStr">
        <is>
          <t>Other (specify)</t>
        </is>
      </c>
      <c r="C84" s="26" t="n"/>
      <c r="D84" s="68" t="inlineStr">
        <is>
          <t>Monthly</t>
        </is>
      </c>
      <c r="E84" s="27">
        <f>IF(C84="",0,C84*IFERROR(INDEX(LISTS!$B$2:$B$8,MATCH(D84,LISTS!$A$2:$A$8,0)),1))</f>
        <v/>
      </c>
      <c r="F84" s="68" t="inlineStr">
        <is>
          <t>Important</t>
        </is>
      </c>
      <c r="G84" s="146" t="b">
        <v>0</v>
      </c>
      <c r="H84" s="49" t="n"/>
      <c r="I84" s="26" t="n"/>
      <c r="J84" s="28" t="inlineStr">
        <is>
          <t>Other</t>
        </is>
      </c>
      <c r="K84" s="29" t="n"/>
      <c r="L84" s="30" t="inlineStr">
        <is>
          <t>EDU-05</t>
        </is>
      </c>
    </row>
    <row r="85">
      <c r="A85" s="25" t="inlineStr">
        <is>
          <t>Education</t>
        </is>
      </c>
      <c r="B85" s="68" t="inlineStr">
        <is>
          <t>Other (specify)</t>
        </is>
      </c>
      <c r="C85" s="26" t="n"/>
      <c r="D85" s="68" t="inlineStr">
        <is>
          <t>Monthly</t>
        </is>
      </c>
      <c r="E85" s="27">
        <f>IF(C85="",0,C85*IFERROR(INDEX(LISTS!$B$2:$B$8,MATCH(D85,LISTS!$A$2:$A$8,0)),1))</f>
        <v/>
      </c>
      <c r="F85" s="68" t="inlineStr">
        <is>
          <t>Important</t>
        </is>
      </c>
      <c r="G85" s="146" t="b">
        <v>0</v>
      </c>
      <c r="H85" s="49" t="n"/>
      <c r="I85" s="26" t="n"/>
      <c r="J85" s="28" t="inlineStr">
        <is>
          <t>Other</t>
        </is>
      </c>
      <c r="K85" s="29" t="n"/>
      <c r="L85" s="30" t="inlineStr">
        <is>
          <t>EDU-06</t>
        </is>
      </c>
    </row>
    <row r="86">
      <c r="A86" s="23" t="n"/>
      <c r="B86" s="143" t="inlineStr">
        <is>
          <t>DEBT PAYMENTS</t>
        </is>
      </c>
      <c r="C86" s="103" t="n"/>
      <c r="D86" s="120" t="n"/>
      <c r="E86" s="24">
        <f>SUM(E87:E87)</f>
        <v/>
      </c>
      <c r="F86" s="23" t="n"/>
      <c r="G86" s="23" t="n"/>
      <c r="H86" s="48" t="n"/>
      <c r="I86" s="24">
        <f>SUM(I87:I87)</f>
        <v/>
      </c>
      <c r="J86" s="23" t="n"/>
      <c r="K86" s="23" t="n"/>
      <c r="L86" s="23" t="n"/>
    </row>
    <row r="87">
      <c r="A87" s="25" t="inlineStr">
        <is>
          <t>Debt Payments</t>
        </is>
      </c>
      <c r="B87" s="17" t="inlineStr">
        <is>
          <t>Debt payments — linked from Debts tab</t>
        </is>
      </c>
      <c r="C87" s="31">
        <f>DEBTS!E21</f>
        <v/>
      </c>
      <c r="D87" s="17" t="inlineStr">
        <is>
          <t>Monthly</t>
        </is>
      </c>
      <c r="E87" s="27">
        <f>IF(C87="",0,C87*IFERROR(INDEX(LISTS!$B$2:$B$8,MATCH(D87,LISTS!$A$2:$A$8,0)),1))</f>
        <v/>
      </c>
      <c r="F87" s="68" t="inlineStr">
        <is>
          <t>Essential</t>
        </is>
      </c>
      <c r="G87" s="68" t="n"/>
      <c r="H87" s="49" t="n"/>
      <c r="I87" s="31">
        <f>DEBTS!G21</f>
        <v/>
      </c>
      <c r="J87" s="28" t="inlineStr">
        <is>
          <t>Debt payments</t>
        </is>
      </c>
      <c r="K87" s="29" t="n"/>
      <c r="L87" s="30" t="inlineStr">
        <is>
          <t>DBT-01</t>
        </is>
      </c>
    </row>
    <row r="88">
      <c r="A88" s="23" t="n"/>
      <c r="B88" s="143" t="inlineStr">
        <is>
          <t>LEGAL &amp; GOVERNMENT</t>
        </is>
      </c>
      <c r="C88" s="103" t="n"/>
      <c r="D88" s="120" t="n"/>
      <c r="E88" s="24">
        <f>SUM(E89:E93)</f>
        <v/>
      </c>
      <c r="F88" s="23" t="n"/>
      <c r="G88" s="23" t="n"/>
      <c r="H88" s="48" t="n"/>
      <c r="I88" s="24">
        <f>SUM(I89:I93)</f>
        <v/>
      </c>
      <c r="J88" s="23" t="n"/>
      <c r="K88" s="23" t="n"/>
      <c r="L88" s="23" t="n"/>
    </row>
    <row r="89">
      <c r="A89" s="25" t="inlineStr">
        <is>
          <t>Legal &amp; Government</t>
        </is>
      </c>
      <c r="B89" s="17" t="inlineStr">
        <is>
          <t>Court fines &amp; fees</t>
        </is>
      </c>
      <c r="C89" s="26" t="n"/>
      <c r="D89" s="68" t="inlineStr">
        <is>
          <t>Monthly</t>
        </is>
      </c>
      <c r="E89" s="27">
        <f>IF(C89="",0,C89*IFERROR(INDEX(LISTS!$B$2:$B$8,MATCH(D89,LISTS!$A$2:$A$8,0)),1))</f>
        <v/>
      </c>
      <c r="F89" s="68" t="inlineStr">
        <is>
          <t>Essential</t>
        </is>
      </c>
      <c r="G89" s="146" t="b">
        <v>0</v>
      </c>
      <c r="H89" s="49" t="n"/>
      <c r="I89" s="26" t="n"/>
      <c r="J89" s="28" t="inlineStr">
        <is>
          <t>Other</t>
        </is>
      </c>
      <c r="K89" s="29" t="n"/>
      <c r="L89" s="30" t="inlineStr">
        <is>
          <t>LGL-01</t>
        </is>
      </c>
    </row>
    <row r="90">
      <c r="A90" s="25" t="inlineStr">
        <is>
          <t>Legal &amp; Government</t>
        </is>
      </c>
      <c r="B90" s="17" t="inlineStr">
        <is>
          <t>Legal fees</t>
        </is>
      </c>
      <c r="C90" s="26" t="n"/>
      <c r="D90" s="68" t="inlineStr">
        <is>
          <t>Monthly</t>
        </is>
      </c>
      <c r="E90" s="27">
        <f>IF(C90="",0,C90*IFERROR(INDEX(LISTS!$B$2:$B$8,MATCH(D90,LISTS!$A$2:$A$8,0)),1))</f>
        <v/>
      </c>
      <c r="F90" s="68" t="inlineStr">
        <is>
          <t>Important</t>
        </is>
      </c>
      <c r="G90" s="146" t="b">
        <v>0</v>
      </c>
      <c r="H90" s="49" t="n"/>
      <c r="I90" s="26" t="n"/>
      <c r="J90" s="28" t="inlineStr">
        <is>
          <t>Other</t>
        </is>
      </c>
      <c r="K90" s="29" t="n"/>
      <c r="L90" s="30" t="inlineStr">
        <is>
          <t>LGL-02</t>
        </is>
      </c>
    </row>
    <row r="91">
      <c r="A91" s="25" t="inlineStr">
        <is>
          <t>Legal &amp; Government</t>
        </is>
      </c>
      <c r="B91" s="17" t="inlineStr">
        <is>
          <t>Government payment plans</t>
        </is>
      </c>
      <c r="C91" s="26" t="n"/>
      <c r="D91" s="68" t="inlineStr">
        <is>
          <t>Monthly</t>
        </is>
      </c>
      <c r="E91" s="27">
        <f>IF(C91="",0,C91*IFERROR(INDEX(LISTS!$B$2:$B$8,MATCH(D91,LISTS!$A$2:$A$8,0)),1))</f>
        <v/>
      </c>
      <c r="F91" s="68" t="inlineStr">
        <is>
          <t>Essential</t>
        </is>
      </c>
      <c r="G91" s="146" t="b">
        <v>0</v>
      </c>
      <c r="H91" s="49" t="n"/>
      <c r="I91" s="26" t="n"/>
      <c r="J91" s="28" t="inlineStr">
        <is>
          <t>Other</t>
        </is>
      </c>
      <c r="K91" s="29" t="n"/>
      <c r="L91" s="30" t="inlineStr">
        <is>
          <t>LGL-03</t>
        </is>
      </c>
    </row>
    <row r="92">
      <c r="A92" s="25" t="inlineStr">
        <is>
          <t>Legal &amp; Government</t>
        </is>
      </c>
      <c r="B92" s="68" t="inlineStr">
        <is>
          <t>Other (specify)</t>
        </is>
      </c>
      <c r="C92" s="26" t="n"/>
      <c r="D92" s="68" t="inlineStr">
        <is>
          <t>Monthly</t>
        </is>
      </c>
      <c r="E92" s="27">
        <f>IF(C92="",0,C92*IFERROR(INDEX(LISTS!$B$2:$B$8,MATCH(D92,LISTS!$A$2:$A$8,0)),1))</f>
        <v/>
      </c>
      <c r="F92" s="68" t="inlineStr">
        <is>
          <t>Important</t>
        </is>
      </c>
      <c r="G92" s="146" t="b">
        <v>0</v>
      </c>
      <c r="H92" s="49" t="n"/>
      <c r="I92" s="26" t="n"/>
      <c r="J92" s="28" t="inlineStr">
        <is>
          <t>Other</t>
        </is>
      </c>
      <c r="K92" s="29" t="n"/>
      <c r="L92" s="30" t="inlineStr">
        <is>
          <t>LGL-04</t>
        </is>
      </c>
    </row>
    <row r="93">
      <c r="A93" s="25" t="inlineStr">
        <is>
          <t>Legal &amp; Government</t>
        </is>
      </c>
      <c r="B93" s="68" t="inlineStr">
        <is>
          <t>Other (specify)</t>
        </is>
      </c>
      <c r="C93" s="26" t="n"/>
      <c r="D93" s="68" t="inlineStr">
        <is>
          <t>Monthly</t>
        </is>
      </c>
      <c r="E93" s="27">
        <f>IF(C93="",0,C93*IFERROR(INDEX(LISTS!$B$2:$B$8,MATCH(D93,LISTS!$A$2:$A$8,0)),1))</f>
        <v/>
      </c>
      <c r="F93" s="68" t="inlineStr">
        <is>
          <t>Important</t>
        </is>
      </c>
      <c r="G93" s="146" t="b">
        <v>0</v>
      </c>
      <c r="H93" s="49" t="n"/>
      <c r="I93" s="26" t="n"/>
      <c r="J93" s="28" t="inlineStr">
        <is>
          <t>Other</t>
        </is>
      </c>
      <c r="K93" s="29" t="n"/>
      <c r="L93" s="30" t="inlineStr">
        <is>
          <t>LGL-05</t>
        </is>
      </c>
    </row>
    <row r="94">
      <c r="A94" s="23" t="n"/>
      <c r="B94" s="143" t="inlineStr">
        <is>
          <t>PETS</t>
        </is>
      </c>
      <c r="C94" s="103" t="n"/>
      <c r="D94" s="120" t="n"/>
      <c r="E94" s="24">
        <f>SUM(E95:E98)</f>
        <v/>
      </c>
      <c r="F94" s="23" t="n"/>
      <c r="G94" s="23" t="n"/>
      <c r="H94" s="48" t="n"/>
      <c r="I94" s="24">
        <f>SUM(I95:I98)</f>
        <v/>
      </c>
      <c r="J94" s="23" t="n"/>
      <c r="K94" s="23" t="n"/>
      <c r="L94" s="23" t="n"/>
    </row>
    <row r="95">
      <c r="A95" s="25" t="inlineStr">
        <is>
          <t>Pets</t>
        </is>
      </c>
      <c r="B95" s="17" t="inlineStr">
        <is>
          <t>Pet food &amp; supplies</t>
        </is>
      </c>
      <c r="C95" s="26" t="n"/>
      <c r="D95" s="68" t="inlineStr">
        <is>
          <t>Monthly</t>
        </is>
      </c>
      <c r="E95" s="27">
        <f>IF(C95="",0,C95*IFERROR(INDEX(LISTS!$B$2:$B$8,MATCH(D95,LISTS!$A$2:$A$8,0)),1))</f>
        <v/>
      </c>
      <c r="F95" s="68" t="inlineStr">
        <is>
          <t>Discretionary</t>
        </is>
      </c>
      <c r="G95" s="146" t="b">
        <v>0</v>
      </c>
      <c r="H95" s="49" t="n"/>
      <c r="I95" s="26" t="n"/>
      <c r="J95" s="28" t="inlineStr">
        <is>
          <t>Other</t>
        </is>
      </c>
      <c r="K95" s="29" t="n"/>
      <c r="L95" s="30" t="inlineStr">
        <is>
          <t>PET-01</t>
        </is>
      </c>
    </row>
    <row r="96">
      <c r="A96" s="25" t="inlineStr">
        <is>
          <t>Pets</t>
        </is>
      </c>
      <c r="B96" s="17" t="inlineStr">
        <is>
          <t>Vet bills</t>
        </is>
      </c>
      <c r="C96" s="26" t="n"/>
      <c r="D96" s="68" t="inlineStr">
        <is>
          <t>Monthly</t>
        </is>
      </c>
      <c r="E96" s="27">
        <f>IF(C96="",0,C96*IFERROR(INDEX(LISTS!$B$2:$B$8,MATCH(D96,LISTS!$A$2:$A$8,0)),1))</f>
        <v/>
      </c>
      <c r="F96" s="68" t="inlineStr">
        <is>
          <t>Important</t>
        </is>
      </c>
      <c r="G96" s="146" t="b">
        <v>0</v>
      </c>
      <c r="H96" s="49" t="n"/>
      <c r="I96" s="26" t="n"/>
      <c r="J96" s="28" t="inlineStr">
        <is>
          <t>Other</t>
        </is>
      </c>
      <c r="K96" s="29" t="n"/>
      <c r="L96" s="30" t="inlineStr">
        <is>
          <t>PET-02</t>
        </is>
      </c>
    </row>
    <row r="97">
      <c r="A97" s="25" t="inlineStr">
        <is>
          <t>Pets</t>
        </is>
      </c>
      <c r="B97" s="68" t="inlineStr">
        <is>
          <t>Other (specify)</t>
        </is>
      </c>
      <c r="C97" s="26" t="n"/>
      <c r="D97" s="68" t="inlineStr">
        <is>
          <t>Monthly</t>
        </is>
      </c>
      <c r="E97" s="27">
        <f>IF(C97="",0,C97*IFERROR(INDEX(LISTS!$B$2:$B$8,MATCH(D97,LISTS!$A$2:$A$8,0)),1))</f>
        <v/>
      </c>
      <c r="F97" s="68" t="inlineStr">
        <is>
          <t>Important</t>
        </is>
      </c>
      <c r="G97" s="146" t="b">
        <v>0</v>
      </c>
      <c r="H97" s="49" t="n"/>
      <c r="I97" s="26" t="n"/>
      <c r="J97" s="28" t="inlineStr">
        <is>
          <t>Other</t>
        </is>
      </c>
      <c r="K97" s="29" t="n"/>
      <c r="L97" s="30" t="inlineStr">
        <is>
          <t>PET-03</t>
        </is>
      </c>
    </row>
    <row r="98">
      <c r="A98" s="25" t="inlineStr">
        <is>
          <t>Pets</t>
        </is>
      </c>
      <c r="B98" s="68" t="inlineStr">
        <is>
          <t>Other (specify)</t>
        </is>
      </c>
      <c r="C98" s="26" t="n"/>
      <c r="D98" s="68" t="inlineStr">
        <is>
          <t>Monthly</t>
        </is>
      </c>
      <c r="E98" s="27">
        <f>IF(C98="",0,C98*IFERROR(INDEX(LISTS!$B$2:$B$8,MATCH(D98,LISTS!$A$2:$A$8,0)),1))</f>
        <v/>
      </c>
      <c r="F98" s="68" t="inlineStr">
        <is>
          <t>Important</t>
        </is>
      </c>
      <c r="G98" s="146" t="b">
        <v>0</v>
      </c>
      <c r="H98" s="49" t="n"/>
      <c r="I98" s="26" t="n"/>
      <c r="J98" s="28" t="inlineStr">
        <is>
          <t>Other</t>
        </is>
      </c>
      <c r="K98" s="29" t="n"/>
      <c r="L98" s="30" t="inlineStr">
        <is>
          <t>PET-04</t>
        </is>
      </c>
    </row>
    <row r="99">
      <c r="A99" s="23" t="n"/>
      <c r="B99" s="143" t="inlineStr">
        <is>
          <t>SUBSCRIPTIONS &amp; MEMBERSHIPS</t>
        </is>
      </c>
      <c r="C99" s="103" t="n"/>
      <c r="D99" s="120" t="n"/>
      <c r="E99" s="24">
        <f>SUM(E100:E105)</f>
        <v/>
      </c>
      <c r="F99" s="23" t="n"/>
      <c r="G99" s="23" t="n"/>
      <c r="H99" s="48" t="n"/>
      <c r="I99" s="24">
        <f>SUM(I100:I105)</f>
        <v/>
      </c>
      <c r="J99" s="23" t="n"/>
      <c r="K99" s="23" t="n"/>
      <c r="L99" s="23" t="n"/>
    </row>
    <row r="100">
      <c r="A100" s="25" t="inlineStr">
        <is>
          <t>Subscriptions &amp; Memberships</t>
        </is>
      </c>
      <c r="B100" s="17" t="inlineStr">
        <is>
          <t>Streaming services</t>
        </is>
      </c>
      <c r="C100" s="26" t="n"/>
      <c r="D100" s="68" t="inlineStr">
        <is>
          <t>Monthly</t>
        </is>
      </c>
      <c r="E100" s="27">
        <f>IF(C100="",0,C100*IFERROR(INDEX(LISTS!$B$2:$B$8,MATCH(D100,LISTS!$A$2:$A$8,0)),1))</f>
        <v/>
      </c>
      <c r="F100" s="68" t="inlineStr">
        <is>
          <t>Discretionary</t>
        </is>
      </c>
      <c r="G100" s="146" t="b">
        <v>0</v>
      </c>
      <c r="H100" s="49" t="n"/>
      <c r="I100" s="26" t="n"/>
      <c r="J100" s="28" t="inlineStr">
        <is>
          <t>Other</t>
        </is>
      </c>
      <c r="K100" s="29" t="n"/>
      <c r="L100" s="30" t="inlineStr">
        <is>
          <t>SUB-01</t>
        </is>
      </c>
    </row>
    <row r="101">
      <c r="A101" s="25" t="inlineStr">
        <is>
          <t>Subscriptions &amp; Memberships</t>
        </is>
      </c>
      <c r="B101" s="17" t="inlineStr">
        <is>
          <t>Gym</t>
        </is>
      </c>
      <c r="C101" s="26" t="n"/>
      <c r="D101" s="68" t="inlineStr">
        <is>
          <t>Monthly</t>
        </is>
      </c>
      <c r="E101" s="27">
        <f>IF(C101="",0,C101*IFERROR(INDEX(LISTS!$B$2:$B$8,MATCH(D101,LISTS!$A$2:$A$8,0)),1))</f>
        <v/>
      </c>
      <c r="F101" s="68" t="inlineStr">
        <is>
          <t>Discretionary</t>
        </is>
      </c>
      <c r="G101" s="146" t="b">
        <v>0</v>
      </c>
      <c r="H101" s="49" t="n"/>
      <c r="I101" s="26" t="n"/>
      <c r="J101" s="28" t="inlineStr">
        <is>
          <t>Other</t>
        </is>
      </c>
      <c r="K101" s="29" t="n"/>
      <c r="L101" s="30" t="inlineStr">
        <is>
          <t>SUB-02</t>
        </is>
      </c>
    </row>
    <row r="102">
      <c r="A102" s="25" t="inlineStr">
        <is>
          <t>Subscriptions &amp; Memberships</t>
        </is>
      </c>
      <c r="B102" s="17" t="inlineStr">
        <is>
          <t>Apps &amp; software</t>
        </is>
      </c>
      <c r="C102" s="26" t="n"/>
      <c r="D102" s="68" t="inlineStr">
        <is>
          <t>Monthly</t>
        </is>
      </c>
      <c r="E102" s="27">
        <f>IF(C102="",0,C102*IFERROR(INDEX(LISTS!$B$2:$B$8,MATCH(D102,LISTS!$A$2:$A$8,0)),1))</f>
        <v/>
      </c>
      <c r="F102" s="68" t="inlineStr">
        <is>
          <t>Discretionary</t>
        </is>
      </c>
      <c r="G102" s="146" t="b">
        <v>0</v>
      </c>
      <c r="H102" s="49" t="n"/>
      <c r="I102" s="26" t="n"/>
      <c r="J102" s="28" t="inlineStr">
        <is>
          <t>Other</t>
        </is>
      </c>
      <c r="K102" s="29" t="n"/>
      <c r="L102" s="30" t="inlineStr">
        <is>
          <t>SUB-03</t>
        </is>
      </c>
    </row>
    <row r="103">
      <c r="A103" s="25" t="inlineStr">
        <is>
          <t>Subscriptions &amp; Memberships</t>
        </is>
      </c>
      <c r="B103" s="17" t="inlineStr">
        <is>
          <t>Warehouse club (Costco, Sam's)</t>
        </is>
      </c>
      <c r="C103" s="26" t="n"/>
      <c r="D103" s="68" t="inlineStr">
        <is>
          <t>Monthly</t>
        </is>
      </c>
      <c r="E103" s="27">
        <f>IF(C103="",0,C103*IFERROR(INDEX(LISTS!$B$2:$B$8,MATCH(D103,LISTS!$A$2:$A$8,0)),1))</f>
        <v/>
      </c>
      <c r="F103" s="68" t="inlineStr">
        <is>
          <t>Discretionary</t>
        </is>
      </c>
      <c r="G103" s="146" t="b">
        <v>0</v>
      </c>
      <c r="H103" s="49" t="n"/>
      <c r="I103" s="26" t="n"/>
      <c r="J103" s="28" t="inlineStr">
        <is>
          <t>Other</t>
        </is>
      </c>
      <c r="K103" s="29" t="n"/>
      <c r="L103" s="30" t="inlineStr">
        <is>
          <t>SUB-04</t>
        </is>
      </c>
    </row>
    <row r="104" ht="85" customHeight="1" s="107">
      <c r="A104" s="25" t="inlineStr">
        <is>
          <t>Subscriptions &amp; Memberships</t>
        </is>
      </c>
      <c r="B104" s="68" t="inlineStr">
        <is>
          <t>Other (specify)</t>
        </is>
      </c>
      <c r="C104" s="26" t="n"/>
      <c r="D104" s="68" t="inlineStr">
        <is>
          <t>Monthly</t>
        </is>
      </c>
      <c r="E104" s="27">
        <f>IF(C104="",0,C104*IFERROR(INDEX(LISTS!$B$2:$B$8,MATCH(D104,LISTS!$A$2:$A$8,0)),1))</f>
        <v/>
      </c>
      <c r="F104" s="68" t="inlineStr">
        <is>
          <t>Important</t>
        </is>
      </c>
      <c r="G104" s="146" t="b">
        <v>0</v>
      </c>
      <c r="H104" s="49" t="n"/>
      <c r="I104" s="26" t="n"/>
      <c r="J104" s="28" t="inlineStr">
        <is>
          <t>Other</t>
        </is>
      </c>
      <c r="K104" s="29" t="n"/>
      <c r="L104" s="30" t="inlineStr">
        <is>
          <t>SUB-05</t>
        </is>
      </c>
    </row>
    <row r="105">
      <c r="A105" s="25" t="inlineStr">
        <is>
          <t>Subscriptions &amp; Memberships</t>
        </is>
      </c>
      <c r="B105" s="68" t="inlineStr">
        <is>
          <t>Other (specify)</t>
        </is>
      </c>
      <c r="C105" s="26" t="n"/>
      <c r="D105" s="68" t="inlineStr">
        <is>
          <t>Monthly</t>
        </is>
      </c>
      <c r="E105" s="27">
        <f>IF(C105="",0,C105*IFERROR(INDEX(LISTS!$B$2:$B$8,MATCH(D105,LISTS!$A$2:$A$8,0)),1))</f>
        <v/>
      </c>
      <c r="F105" s="68" t="inlineStr">
        <is>
          <t>Important</t>
        </is>
      </c>
      <c r="G105" s="146" t="b">
        <v>0</v>
      </c>
      <c r="H105" s="49" t="n"/>
      <c r="I105" s="26" t="n"/>
      <c r="J105" s="28" t="inlineStr">
        <is>
          <t>Other</t>
        </is>
      </c>
      <c r="K105" s="29" t="n"/>
      <c r="L105" s="30" t="inlineStr">
        <is>
          <t>SUB-06</t>
        </is>
      </c>
    </row>
    <row r="106">
      <c r="A106" s="23" t="n"/>
      <c r="B106" s="143" t="inlineStr">
        <is>
          <t>RECREATION &amp; DISCRETIONARY</t>
        </is>
      </c>
      <c r="C106" s="103" t="n"/>
      <c r="D106" s="120" t="n"/>
      <c r="E106" s="24">
        <f>SUM(E107:E113)</f>
        <v/>
      </c>
      <c r="F106" s="23" t="n"/>
      <c r="G106" s="23" t="n"/>
      <c r="H106" s="48" t="n"/>
      <c r="I106" s="24">
        <f>SUM(I107:I113)</f>
        <v/>
      </c>
      <c r="J106" s="23" t="n"/>
      <c r="K106" s="23" t="n"/>
      <c r="L106" s="23" t="n"/>
    </row>
    <row r="107">
      <c r="A107" s="25" t="inlineStr">
        <is>
          <t>Recreation &amp; Discretionary</t>
        </is>
      </c>
      <c r="B107" s="17" t="inlineStr">
        <is>
          <t>Entertainment &amp; hobbies</t>
        </is>
      </c>
      <c r="C107" s="26" t="n"/>
      <c r="D107" s="68" t="inlineStr">
        <is>
          <t>Monthly</t>
        </is>
      </c>
      <c r="E107" s="27">
        <f>IF(C107="",0,C107*IFERROR(INDEX(LISTS!$B$2:$B$8,MATCH(D107,LISTS!$A$2:$A$8,0)),1))</f>
        <v/>
      </c>
      <c r="F107" s="68" t="inlineStr">
        <is>
          <t>Discretionary</t>
        </is>
      </c>
      <c r="G107" s="146" t="b">
        <v>0</v>
      </c>
      <c r="H107" s="49" t="n"/>
      <c r="I107" s="26" t="n"/>
      <c r="J107" s="28" t="inlineStr">
        <is>
          <t>Other</t>
        </is>
      </c>
      <c r="K107" s="29" t="n"/>
      <c r="L107" s="30" t="inlineStr">
        <is>
          <t>REC-01</t>
        </is>
      </c>
    </row>
    <row r="108">
      <c r="A108" s="25" t="inlineStr">
        <is>
          <t>Recreation &amp; Discretionary</t>
        </is>
      </c>
      <c r="B108" s="17" t="inlineStr">
        <is>
          <t>Tobacco / vaping / energy drinks</t>
        </is>
      </c>
      <c r="C108" s="26" t="n"/>
      <c r="D108" s="68" t="inlineStr">
        <is>
          <t>Monthly</t>
        </is>
      </c>
      <c r="E108" s="27">
        <f>IF(C108="",0,C108*IFERROR(INDEX(LISTS!$B$2:$B$8,MATCH(D108,LISTS!$A$2:$A$8,0)),1))</f>
        <v/>
      </c>
      <c r="F108" s="68" t="inlineStr">
        <is>
          <t>Discretionary</t>
        </is>
      </c>
      <c r="G108" s="146" t="b">
        <v>0</v>
      </c>
      <c r="H108" s="49" t="n"/>
      <c r="I108" s="26" t="n"/>
      <c r="J108" s="28" t="inlineStr">
        <is>
          <t>Other</t>
        </is>
      </c>
      <c r="K108" s="29" t="n"/>
      <c r="L108" s="30" t="inlineStr">
        <is>
          <t>REC-02</t>
        </is>
      </c>
    </row>
    <row r="109">
      <c r="A109" s="25" t="inlineStr">
        <is>
          <t>Recreation &amp; Discretionary</t>
        </is>
      </c>
      <c r="B109" s="17" t="inlineStr">
        <is>
          <t>Lottery &amp; gambling</t>
        </is>
      </c>
      <c r="C109" s="26" t="n"/>
      <c r="D109" s="68" t="inlineStr">
        <is>
          <t>Monthly</t>
        </is>
      </c>
      <c r="E109" s="27">
        <f>IF(C109="",0,C109*IFERROR(INDEX(LISTS!$B$2:$B$8,MATCH(D109,LISTS!$A$2:$A$8,0)),1))</f>
        <v/>
      </c>
      <c r="F109" s="68" t="inlineStr">
        <is>
          <t>Discretionary</t>
        </is>
      </c>
      <c r="G109" s="146" t="b">
        <v>0</v>
      </c>
      <c r="H109" s="49" t="n"/>
      <c r="I109" s="26" t="n"/>
      <c r="J109" s="28" t="inlineStr">
        <is>
          <t>Other</t>
        </is>
      </c>
      <c r="K109" s="29" t="n"/>
      <c r="L109" s="30" t="inlineStr">
        <is>
          <t>REC-03</t>
        </is>
      </c>
    </row>
    <row r="110">
      <c r="A110" s="25" t="inlineStr">
        <is>
          <t>Recreation &amp; Discretionary</t>
        </is>
      </c>
      <c r="B110" s="17" t="inlineStr">
        <is>
          <t>Gifts &amp; holidays</t>
        </is>
      </c>
      <c r="C110" s="26" t="n"/>
      <c r="D110" s="68" t="inlineStr">
        <is>
          <t>Monthly</t>
        </is>
      </c>
      <c r="E110" s="27">
        <f>IF(C110="",0,C110*IFERROR(INDEX(LISTS!$B$2:$B$8,MATCH(D110,LISTS!$A$2:$A$8,0)),1))</f>
        <v/>
      </c>
      <c r="F110" s="68" t="inlineStr">
        <is>
          <t>Important</t>
        </is>
      </c>
      <c r="G110" s="146" t="b">
        <v>0</v>
      </c>
      <c r="H110" s="49" t="n"/>
      <c r="I110" s="26" t="n"/>
      <c r="J110" s="28" t="inlineStr">
        <is>
          <t>Other</t>
        </is>
      </c>
      <c r="K110" s="29" t="n"/>
      <c r="L110" s="30" t="inlineStr">
        <is>
          <t>REC-04</t>
        </is>
      </c>
    </row>
    <row r="111">
      <c r="A111" s="25" t="inlineStr">
        <is>
          <t>Recreation &amp; Discretionary</t>
        </is>
      </c>
      <c r="B111" s="17" t="inlineStr">
        <is>
          <t>Travel</t>
        </is>
      </c>
      <c r="C111" s="26" t="n"/>
      <c r="D111" s="68" t="inlineStr">
        <is>
          <t>Monthly</t>
        </is>
      </c>
      <c r="E111" s="27">
        <f>IF(C111="",0,C111*IFERROR(INDEX(LISTS!$B$2:$B$8,MATCH(D111,LISTS!$A$2:$A$8,0)),1))</f>
        <v/>
      </c>
      <c r="F111" s="68" t="inlineStr">
        <is>
          <t>Discretionary</t>
        </is>
      </c>
      <c r="G111" s="146" t="b">
        <v>0</v>
      </c>
      <c r="H111" s="49" t="n"/>
      <c r="I111" s="26" t="n"/>
      <c r="J111" s="28" t="inlineStr">
        <is>
          <t>Other</t>
        </is>
      </c>
      <c r="K111" s="29" t="n"/>
      <c r="L111" s="30" t="inlineStr">
        <is>
          <t>REC-05</t>
        </is>
      </c>
    </row>
    <row r="112">
      <c r="A112" s="25" t="inlineStr">
        <is>
          <t>Recreation &amp; Discretionary</t>
        </is>
      </c>
      <c r="B112" s="68" t="inlineStr">
        <is>
          <t>Other (specify)</t>
        </is>
      </c>
      <c r="C112" s="26" t="n"/>
      <c r="D112" s="68" t="inlineStr">
        <is>
          <t>Monthly</t>
        </is>
      </c>
      <c r="E112" s="27">
        <f>IF(C112="",0,C112*IFERROR(INDEX(LISTS!$B$2:$B$8,MATCH(D112,LISTS!$A$2:$A$8,0)),1))</f>
        <v/>
      </c>
      <c r="F112" s="68" t="inlineStr">
        <is>
          <t>Important</t>
        </is>
      </c>
      <c r="G112" s="146" t="b">
        <v>0</v>
      </c>
      <c r="H112" s="49" t="n"/>
      <c r="I112" s="26" t="n"/>
      <c r="J112" s="28" t="inlineStr">
        <is>
          <t>Other</t>
        </is>
      </c>
      <c r="K112" s="29" t="n"/>
      <c r="L112" s="30" t="inlineStr">
        <is>
          <t>REC-06</t>
        </is>
      </c>
    </row>
    <row r="113">
      <c r="A113" s="25" t="inlineStr">
        <is>
          <t>Recreation &amp; Discretionary</t>
        </is>
      </c>
      <c r="B113" s="68" t="inlineStr">
        <is>
          <t>Other (specify)</t>
        </is>
      </c>
      <c r="C113" s="26" t="n"/>
      <c r="D113" s="68" t="inlineStr">
        <is>
          <t>Monthly</t>
        </is>
      </c>
      <c r="E113" s="27">
        <f>IF(C113="",0,C113*IFERROR(INDEX(LISTS!$B$2:$B$8,MATCH(D113,LISTS!$A$2:$A$8,0)),1))</f>
        <v/>
      </c>
      <c r="F113" s="68" t="inlineStr">
        <is>
          <t>Important</t>
        </is>
      </c>
      <c r="G113" s="146" t="b">
        <v>0</v>
      </c>
      <c r="H113" s="49" t="n"/>
      <c r="I113" s="26" t="n"/>
      <c r="J113" s="28" t="inlineStr">
        <is>
          <t>Other</t>
        </is>
      </c>
      <c r="K113" s="29" t="n"/>
      <c r="L113" s="30" t="inlineStr">
        <is>
          <t>REC-07</t>
        </is>
      </c>
    </row>
    <row r="114">
      <c r="A114" s="23" t="n"/>
      <c r="B114" s="143" t="inlineStr">
        <is>
          <t>SAVINGS &amp; EMERGENCY</t>
        </is>
      </c>
      <c r="C114" s="103" t="n"/>
      <c r="D114" s="120" t="n"/>
      <c r="E114" s="24">
        <f>SUM(E115:E119)</f>
        <v/>
      </c>
      <c r="F114" s="23" t="n"/>
      <c r="G114" s="23" t="n"/>
      <c r="H114" s="48" t="n"/>
      <c r="I114" s="24">
        <f>SUM(I115:I119)</f>
        <v/>
      </c>
      <c r="J114" s="23" t="n"/>
      <c r="K114" s="23" t="n"/>
      <c r="L114" s="23" t="n"/>
    </row>
    <row r="115">
      <c r="A115" s="25" t="inlineStr">
        <is>
          <t>Savings &amp; Emergency</t>
        </is>
      </c>
      <c r="B115" s="17" t="inlineStr">
        <is>
          <t>Emergency fund</t>
        </is>
      </c>
      <c r="C115" s="26" t="n"/>
      <c r="D115" s="68" t="inlineStr">
        <is>
          <t>Monthly</t>
        </is>
      </c>
      <c r="E115" s="27">
        <f>IF(C115="",0,C115*IFERROR(INDEX(LISTS!$B$2:$B$8,MATCH(D115,LISTS!$A$2:$A$8,0)),1))</f>
        <v/>
      </c>
      <c r="F115" s="68" t="inlineStr">
        <is>
          <t>Important</t>
        </is>
      </c>
      <c r="G115" s="146" t="b">
        <v>0</v>
      </c>
      <c r="H115" s="49" t="n"/>
      <c r="I115" s="26" t="n"/>
      <c r="J115" s="28" t="inlineStr">
        <is>
          <t>Other</t>
        </is>
      </c>
      <c r="K115" s="29" t="n"/>
      <c r="L115" s="30" t="inlineStr">
        <is>
          <t>SAV-01</t>
        </is>
      </c>
    </row>
    <row r="116">
      <c r="A116" s="25" t="inlineStr">
        <is>
          <t>Savings &amp; Emergency</t>
        </is>
      </c>
      <c r="B116" s="17" t="inlineStr">
        <is>
          <t>Retirement contributions</t>
        </is>
      </c>
      <c r="C116" s="26" t="n"/>
      <c r="D116" s="68" t="inlineStr">
        <is>
          <t>Monthly</t>
        </is>
      </c>
      <c r="E116" s="27">
        <f>IF(C116="",0,C116*IFERROR(INDEX(LISTS!$B$2:$B$8,MATCH(D116,LISTS!$A$2:$A$8,0)),1))</f>
        <v/>
      </c>
      <c r="F116" s="68" t="inlineStr">
        <is>
          <t>Important</t>
        </is>
      </c>
      <c r="G116" s="146" t="b">
        <v>0</v>
      </c>
      <c r="H116" s="49" t="n"/>
      <c r="I116" s="26" t="n"/>
      <c r="J116" s="28" t="inlineStr">
        <is>
          <t>Other</t>
        </is>
      </c>
      <c r="K116" s="29" t="n"/>
      <c r="L116" s="30" t="inlineStr">
        <is>
          <t>SAV-02</t>
        </is>
      </c>
    </row>
    <row r="117">
      <c r="A117" s="25" t="inlineStr">
        <is>
          <t>Savings &amp; Emergency</t>
        </is>
      </c>
      <c r="B117" s="17" t="inlineStr">
        <is>
          <t>Food storage</t>
        </is>
      </c>
      <c r="C117" s="26" t="n"/>
      <c r="D117" s="68" t="inlineStr">
        <is>
          <t>Monthly</t>
        </is>
      </c>
      <c r="E117" s="27">
        <f>IF(C117="",0,C117*IFERROR(INDEX(LISTS!$B$2:$B$8,MATCH(D117,LISTS!$A$2:$A$8,0)),1))</f>
        <v/>
      </c>
      <c r="F117" s="68" t="inlineStr">
        <is>
          <t>Important</t>
        </is>
      </c>
      <c r="G117" s="146" t="b">
        <v>0</v>
      </c>
      <c r="H117" s="49" t="n"/>
      <c r="I117" s="26" t="n"/>
      <c r="J117" s="28" t="inlineStr">
        <is>
          <t>Other</t>
        </is>
      </c>
      <c r="K117" s="29" t="n"/>
      <c r="L117" s="30" t="inlineStr">
        <is>
          <t>SAV-03</t>
        </is>
      </c>
    </row>
    <row r="118">
      <c r="A118" s="25" t="inlineStr">
        <is>
          <t>Savings &amp; Emergency</t>
        </is>
      </c>
      <c r="B118" s="68" t="inlineStr">
        <is>
          <t>Other (specify)</t>
        </is>
      </c>
      <c r="C118" s="26" t="n"/>
      <c r="D118" s="68" t="inlineStr">
        <is>
          <t>Monthly</t>
        </is>
      </c>
      <c r="E118" s="27">
        <f>IF(C118="",0,C118*IFERROR(INDEX(LISTS!$B$2:$B$8,MATCH(D118,LISTS!$A$2:$A$8,0)),1))</f>
        <v/>
      </c>
      <c r="F118" s="68" t="inlineStr">
        <is>
          <t>Important</t>
        </is>
      </c>
      <c r="G118" s="146" t="b">
        <v>0</v>
      </c>
      <c r="H118" s="49" t="n"/>
      <c r="I118" s="26" t="n"/>
      <c r="J118" s="28" t="inlineStr">
        <is>
          <t>Other</t>
        </is>
      </c>
      <c r="K118" s="29" t="n"/>
      <c r="L118" s="30" t="inlineStr">
        <is>
          <t>SAV-04</t>
        </is>
      </c>
    </row>
    <row r="119">
      <c r="A119" s="25" t="inlineStr">
        <is>
          <t>Savings &amp; Emergency</t>
        </is>
      </c>
      <c r="B119" s="68" t="inlineStr">
        <is>
          <t>Other (specify)</t>
        </is>
      </c>
      <c r="C119" s="26" t="n"/>
      <c r="D119" s="68" t="inlineStr">
        <is>
          <t>Monthly</t>
        </is>
      </c>
      <c r="E119" s="27">
        <f>IF(C119="",0,C119*IFERROR(INDEX(LISTS!$B$2:$B$8,MATCH(D119,LISTS!$A$2:$A$8,0)),1))</f>
        <v/>
      </c>
      <c r="F119" s="68" t="inlineStr">
        <is>
          <t>Important</t>
        </is>
      </c>
      <c r="G119" s="146" t="b">
        <v>0</v>
      </c>
      <c r="H119" s="49" t="n"/>
      <c r="I119" s="26" t="n"/>
      <c r="J119" s="28" t="inlineStr">
        <is>
          <t>Other</t>
        </is>
      </c>
      <c r="K119" s="29" t="n"/>
      <c r="L119" s="30" t="inlineStr">
        <is>
          <t>SAV-05</t>
        </is>
      </c>
    </row>
    <row r="120">
      <c r="A120" s="23" t="n"/>
      <c r="B120" s="143" t="inlineStr">
        <is>
          <t>IRREGULAR / ANNUAL COSTS</t>
        </is>
      </c>
      <c r="C120" s="103" t="n"/>
      <c r="D120" s="120" t="n"/>
      <c r="E120" s="24">
        <f>SUM(E121:E126)</f>
        <v/>
      </c>
      <c r="F120" s="23" t="n"/>
      <c r="G120" s="23" t="n"/>
      <c r="H120" s="48" t="n"/>
      <c r="I120" s="24">
        <f>SUM(I121:I126)</f>
        <v/>
      </c>
      <c r="J120" s="23" t="n"/>
      <c r="K120" s="23" t="n"/>
      <c r="L120" s="23" t="n"/>
    </row>
    <row r="121">
      <c r="A121" s="25" t="inlineStr">
        <is>
          <t>Irregular / Annual Costs</t>
        </is>
      </c>
      <c r="B121" s="17" t="inlineStr">
        <is>
          <t>Annual insurance premiums</t>
        </is>
      </c>
      <c r="C121" s="26" t="n"/>
      <c r="D121" s="68" t="inlineStr">
        <is>
          <t>Monthly</t>
        </is>
      </c>
      <c r="E121" s="27">
        <f>IF(C121="",0,C121*IFERROR(INDEX(LISTS!$B$2:$B$8,MATCH(D121,LISTS!$A$2:$A$8,0)),1))</f>
        <v/>
      </c>
      <c r="F121" s="68" t="inlineStr">
        <is>
          <t>Essential</t>
        </is>
      </c>
      <c r="G121" s="146" t="b">
        <v>0</v>
      </c>
      <c r="H121" s="49" t="n"/>
      <c r="I121" s="26" t="n"/>
      <c r="J121" s="28" t="inlineStr">
        <is>
          <t>Other</t>
        </is>
      </c>
      <c r="K121" s="29" t="n"/>
      <c r="L121" s="30" t="inlineStr">
        <is>
          <t>IRR-01</t>
        </is>
      </c>
    </row>
    <row r="122">
      <c r="A122" s="25" t="inlineStr">
        <is>
          <t>Irregular / Annual Costs</t>
        </is>
      </c>
      <c r="B122" s="17" t="inlineStr">
        <is>
          <t>Back-to-school costs</t>
        </is>
      </c>
      <c r="C122" s="26" t="n"/>
      <c r="D122" s="68" t="inlineStr">
        <is>
          <t>Monthly</t>
        </is>
      </c>
      <c r="E122" s="27">
        <f>IF(C122="",0,C122*IFERROR(INDEX(LISTS!$B$2:$B$8,MATCH(D122,LISTS!$A$2:$A$8,0)),1))</f>
        <v/>
      </c>
      <c r="F122" s="68" t="inlineStr">
        <is>
          <t>Important</t>
        </is>
      </c>
      <c r="G122" s="146" t="b">
        <v>0</v>
      </c>
      <c r="H122" s="49" t="n"/>
      <c r="I122" s="26" t="n"/>
      <c r="J122" s="28" t="inlineStr">
        <is>
          <t>Other</t>
        </is>
      </c>
      <c r="K122" s="29" t="n"/>
      <c r="L122" s="30" t="inlineStr">
        <is>
          <t>IRR-02</t>
        </is>
      </c>
    </row>
    <row r="123">
      <c r="A123" s="25" t="inlineStr">
        <is>
          <t>Irregular / Annual Costs</t>
        </is>
      </c>
      <c r="B123" s="17" t="inlineStr">
        <is>
          <t>Christmas &amp; birthdays</t>
        </is>
      </c>
      <c r="C123" s="26" t="n"/>
      <c r="D123" s="68" t="inlineStr">
        <is>
          <t>Monthly</t>
        </is>
      </c>
      <c r="E123" s="27">
        <f>IF(C123="",0,C123*IFERROR(INDEX(LISTS!$B$2:$B$8,MATCH(D123,LISTS!$A$2:$A$8,0)),1))</f>
        <v/>
      </c>
      <c r="F123" s="68" t="inlineStr">
        <is>
          <t>Discretionary</t>
        </is>
      </c>
      <c r="G123" s="146" t="b">
        <v>0</v>
      </c>
      <c r="H123" s="49" t="n"/>
      <c r="I123" s="26" t="n"/>
      <c r="J123" s="28" t="inlineStr">
        <is>
          <t>Other</t>
        </is>
      </c>
      <c r="K123" s="29" t="n"/>
      <c r="L123" s="30" t="inlineStr">
        <is>
          <t>IRR-03</t>
        </is>
      </c>
    </row>
    <row r="124">
      <c r="A124" s="25" t="inlineStr">
        <is>
          <t>Irregular / Annual Costs</t>
        </is>
      </c>
      <c r="B124" s="17" t="inlineStr">
        <is>
          <t>Home / car repair reserve</t>
        </is>
      </c>
      <c r="C124" s="26" t="n"/>
      <c r="D124" s="68" t="inlineStr">
        <is>
          <t>Monthly</t>
        </is>
      </c>
      <c r="E124" s="27">
        <f>IF(C124="",0,C124*IFERROR(INDEX(LISTS!$B$2:$B$8,MATCH(D124,LISTS!$A$2:$A$8,0)),1))</f>
        <v/>
      </c>
      <c r="F124" s="68" t="inlineStr">
        <is>
          <t>Important</t>
        </is>
      </c>
      <c r="G124" s="146" t="b">
        <v>0</v>
      </c>
      <c r="H124" s="49" t="n"/>
      <c r="I124" s="26" t="n"/>
      <c r="J124" s="28" t="inlineStr">
        <is>
          <t>Other</t>
        </is>
      </c>
      <c r="K124" s="29" t="n"/>
      <c r="L124" s="30" t="inlineStr">
        <is>
          <t>IRR-04</t>
        </is>
      </c>
    </row>
    <row r="125" ht="113" customHeight="1" s="107">
      <c r="A125" s="25" t="inlineStr">
        <is>
          <t>Irregular / Annual Costs</t>
        </is>
      </c>
      <c r="B125" s="68" t="inlineStr">
        <is>
          <t>Other (specify)</t>
        </is>
      </c>
      <c r="C125" s="26" t="n"/>
      <c r="D125" s="68" t="inlineStr">
        <is>
          <t>Monthly</t>
        </is>
      </c>
      <c r="E125" s="27">
        <f>IF(C125="",0,C125*IFERROR(INDEX(LISTS!$B$2:$B$8,MATCH(D125,LISTS!$A$2:$A$8,0)),1))</f>
        <v/>
      </c>
      <c r="F125" s="68" t="inlineStr">
        <is>
          <t>Important</t>
        </is>
      </c>
      <c r="G125" s="146" t="b">
        <v>0</v>
      </c>
      <c r="H125" s="49" t="n"/>
      <c r="I125" s="26" t="n"/>
      <c r="J125" s="28" t="inlineStr">
        <is>
          <t>Other</t>
        </is>
      </c>
      <c r="K125" s="29" t="n"/>
      <c r="L125" s="30" t="inlineStr">
        <is>
          <t>IRR-05</t>
        </is>
      </c>
    </row>
    <row r="126">
      <c r="A126" s="25" t="inlineStr">
        <is>
          <t>Irregular / Annual Costs</t>
        </is>
      </c>
      <c r="B126" s="68" t="inlineStr">
        <is>
          <t>Other (specify)</t>
        </is>
      </c>
      <c r="C126" s="26" t="n"/>
      <c r="D126" s="68" t="inlineStr">
        <is>
          <t>Monthly</t>
        </is>
      </c>
      <c r="E126" s="27">
        <f>IF(C126="",0,C126*IFERROR(INDEX(LISTS!$B$2:$B$8,MATCH(D126,LISTS!$A$2:$A$8,0)),1))</f>
        <v/>
      </c>
      <c r="F126" s="68" t="inlineStr">
        <is>
          <t>Important</t>
        </is>
      </c>
      <c r="G126" s="146" t="b">
        <v>0</v>
      </c>
      <c r="H126" s="49" t="n"/>
      <c r="I126" s="26" t="n"/>
      <c r="J126" s="28" t="inlineStr">
        <is>
          <t>Other</t>
        </is>
      </c>
      <c r="K126" s="29" t="n"/>
      <c r="L126" s="30" t="inlineStr">
        <is>
          <t>IRR-06</t>
        </is>
      </c>
    </row>
    <row r="128">
      <c r="B128" s="136" t="inlineStr">
        <is>
          <t>TOTAL MONTHLY EXPENSES</t>
        </is>
      </c>
      <c r="E128" s="15">
        <f>SUMIFS(E5:E126,A5:A126,"&lt;&gt;")</f>
        <v/>
      </c>
      <c r="I128" s="15">
        <f>SUMIFS(I5:I126,A5:A126,"&lt;&gt;")</f>
        <v/>
      </c>
    </row>
    <row r="129">
      <c r="B129" s="11" t="inlineStr">
        <is>
          <t>Irregular costs: enter the yearly amount with Frequency = Annual and it converts to monthly.</t>
        </is>
      </c>
    </row>
  </sheetData>
  <mergeCells count="19">
    <mergeCell ref="B11:D11"/>
    <mergeCell ref="B120:D120"/>
    <mergeCell ref="B61:D61"/>
    <mergeCell ref="B88:D88"/>
    <mergeCell ref="A1:K1"/>
    <mergeCell ref="B37:D37"/>
    <mergeCell ref="B99:D99"/>
    <mergeCell ref="B30:D30"/>
    <mergeCell ref="B51:D51"/>
    <mergeCell ref="B20:D20"/>
    <mergeCell ref="B5:D5"/>
    <mergeCell ref="B114:D114"/>
    <mergeCell ref="B94:D94"/>
    <mergeCell ref="B45:D45"/>
    <mergeCell ref="B79:D79"/>
    <mergeCell ref="A2:K2"/>
    <mergeCell ref="B106:D106"/>
    <mergeCell ref="B71:D71"/>
    <mergeCell ref="B86:D86"/>
  </mergeCells>
  <dataValidations count="3">
    <dataValidation sqref="D6:D10 D12:D19 D21:D29 D31:D36 D38:D44 D46:D50 D52:D60 D62:D70 D72:D78 D80:D85 D89:D93 D95:D98 D100:D105 D107:D113 D115:D119 D121:D126" showDropDown="0" showInputMessage="0" showErrorMessage="0" allowBlank="1" type="list">
      <formula1>LISTS!$A$2:$A$8</formula1>
    </dataValidation>
    <dataValidation sqref="F6:F10 F12:F19 F21:F29 F31:F36 F38:F44 F46:F50 F52:F60 F62:F70 F72:F78 F80:F85 F87:H87 F89:F93 F95:F98 F100:F105 F107:F113 F115:F119 F121:F126" showDropDown="0" showInputMessage="0" showErrorMessage="0" allowBlank="1" type="list">
      <formula1>LISTS!$D$2:$D$4</formula1>
    </dataValidation>
    <dataValidation sqref="J6:J10 J12:J19 J21:J29 J31:J36 J38:J44 J46:J50 J52:J60 J62:J70 J72:J78 J80:J85 J87 J89:J93 J95:J98 J100:J105 J107:J113 J115:J119 J121:J126" showDropDown="0" showInputMessage="0" showErrorMessage="0" allowBlank="1" type="list">
      <formula1>LISTS!$F$2:$F$12</formula1>
    </dataValidation>
  </dataValidations>
  <pageMargins left="0.75" right="0.75" top="1" bottom="1" header="0.511811023622047" footer="0.511811023622047"/>
  <pageSetup orientation="portrait" fitToHeight="0" horizontalDpi="300" verticalDpi="300"/>
</worksheet>
</file>

<file path=xl/worksheets/sheet5.xml><?xml version="1.0" encoding="utf-8"?>
<worksheet xmlns="http://schemas.openxmlformats.org/spreadsheetml/2006/main">
  <sheetPr>
    <tabColor theme="6"/>
    <outlinePr summaryBelow="1" summaryRight="1"/>
    <pageSetUpPr fitToPage="1"/>
  </sheetPr>
  <dimension ref="A1:J22"/>
  <sheetViews>
    <sheetView showGridLines="0" zoomScaleNormal="100" workbookViewId="0">
      <pane ySplit="4" topLeftCell="A5" activePane="bottomLeft" state="frozen"/>
      <selection pane="bottomLeft" activeCell="E36" sqref="E36"/>
    </sheetView>
  </sheetViews>
  <sheetFormatPr baseColWidth="10" defaultColWidth="8.6640625" defaultRowHeight="15"/>
  <cols>
    <col width="26" customWidth="1" style="107" min="1" max="1"/>
    <col width="22" customWidth="1" style="107" min="2" max="2"/>
    <col width="14" customWidth="1" style="107" min="3" max="3"/>
    <col width="11" customWidth="1" style="107" min="4" max="4"/>
    <col width="14" customWidth="1" style="107" min="5" max="5"/>
    <col width="10" customWidth="1" style="107" min="6" max="6"/>
    <col width="13" customWidth="1" style="107" min="7" max="7"/>
    <col width="8.83203125" customWidth="1" style="107" min="8" max="8"/>
    <col width="12.33203125" customWidth="1" style="107" min="9" max="9"/>
    <col width="32" customWidth="1" style="107" min="10" max="10"/>
  </cols>
  <sheetData>
    <row r="1" ht="30" customHeight="1" s="107">
      <c r="A1" s="106" t="inlineStr">
        <is>
          <t>Debts &amp; Past-Due Accounts</t>
        </is>
      </c>
    </row>
    <row r="2" ht="42" customHeight="1" s="107">
      <c r="A2" s="111" t="inlineStr">
        <is>
          <t>List each debt NOT already counted as rent/mortgage or car payment on the Expenses tab (credit cards, medical bills, personal / payday / title loans, buy-now-pay-later, back taxes, collections, student loans). Monthly payments flow to the Debt Payments line on Expenses.</t>
        </is>
      </c>
    </row>
    <row r="4" ht="30" customHeight="1" s="107">
      <c r="A4" s="13" t="inlineStr">
        <is>
          <t>Creditor</t>
        </is>
      </c>
      <c r="B4" s="13" t="inlineStr">
        <is>
          <t>Debt Type</t>
        </is>
      </c>
      <c r="C4" s="13" t="inlineStr">
        <is>
          <t>Balance Owed</t>
        </is>
      </c>
      <c r="D4" s="13" t="inlineStr">
        <is>
          <t>Interest Rate</t>
        </is>
      </c>
      <c r="E4" s="13" t="inlineStr">
        <is>
          <t>Min. Monthly Payment</t>
        </is>
      </c>
      <c r="F4" s="13" t="inlineStr">
        <is>
          <t>Months Behind</t>
        </is>
      </c>
      <c r="G4" s="13" t="inlineStr">
        <is>
          <t>Past Due ($)</t>
        </is>
      </c>
      <c r="H4" s="13" t="inlineStr">
        <is>
          <t>Auto Pay</t>
        </is>
      </c>
      <c r="I4" s="13" t="inlineStr">
        <is>
          <t>Due Date</t>
        </is>
      </c>
      <c r="J4" s="13" t="inlineStr">
        <is>
          <t>Notes</t>
        </is>
      </c>
    </row>
    <row r="5">
      <c r="A5" s="68" t="n"/>
      <c r="B5" s="68" t="n"/>
      <c r="C5" s="26" t="n"/>
      <c r="D5" s="32" t="n"/>
      <c r="E5" s="26" t="n"/>
      <c r="F5" s="33" t="n"/>
      <c r="G5" s="26" t="n"/>
      <c r="H5" s="146" t="b">
        <v>0</v>
      </c>
      <c r="I5" s="54" t="n"/>
      <c r="J5" s="68" t="n"/>
    </row>
    <row r="6">
      <c r="A6" s="68" t="n"/>
      <c r="B6" s="68" t="n"/>
      <c r="C6" s="26" t="n"/>
      <c r="D6" s="32" t="n"/>
      <c r="E6" s="26" t="n"/>
      <c r="F6" s="33" t="n"/>
      <c r="G6" s="26" t="n"/>
      <c r="H6" s="146" t="b">
        <v>0</v>
      </c>
      <c r="I6" s="54" t="n"/>
      <c r="J6" s="68" t="n"/>
    </row>
    <row r="7">
      <c r="A7" s="68" t="n"/>
      <c r="B7" s="68" t="n"/>
      <c r="C7" s="26" t="n"/>
      <c r="D7" s="32" t="n"/>
      <c r="E7" s="26" t="n"/>
      <c r="F7" s="33" t="n"/>
      <c r="G7" s="26" t="n"/>
      <c r="H7" s="146" t="b">
        <v>0</v>
      </c>
      <c r="I7" s="49" t="n"/>
      <c r="J7" s="68" t="n"/>
    </row>
    <row r="8">
      <c r="A8" s="68" t="n"/>
      <c r="B8" s="68" t="n"/>
      <c r="C8" s="26" t="n"/>
      <c r="D8" s="32" t="n"/>
      <c r="E8" s="26" t="n"/>
      <c r="F8" s="33" t="n"/>
      <c r="G8" s="26" t="n"/>
      <c r="H8" s="146" t="b">
        <v>0</v>
      </c>
      <c r="I8" s="49" t="n"/>
      <c r="J8" s="68" t="n"/>
    </row>
    <row r="9">
      <c r="A9" s="68" t="n"/>
      <c r="B9" s="68" t="n"/>
      <c r="C9" s="26" t="n"/>
      <c r="D9" s="32" t="n"/>
      <c r="E9" s="26" t="n"/>
      <c r="F9" s="33" t="n"/>
      <c r="G9" s="26" t="n"/>
      <c r="H9" s="146" t="b">
        <v>0</v>
      </c>
      <c r="I9" s="49" t="n"/>
      <c r="J9" s="68" t="n"/>
    </row>
    <row r="10">
      <c r="A10" s="68" t="n"/>
      <c r="B10" s="68" t="n"/>
      <c r="C10" s="26" t="n"/>
      <c r="D10" s="32" t="n"/>
      <c r="E10" s="26" t="n"/>
      <c r="F10" s="33" t="n"/>
      <c r="G10" s="26" t="n"/>
      <c r="H10" s="146" t="b">
        <v>0</v>
      </c>
      <c r="I10" s="49" t="n"/>
      <c r="J10" s="68" t="n"/>
    </row>
    <row r="11">
      <c r="A11" s="68" t="n"/>
      <c r="B11" s="68" t="n"/>
      <c r="C11" s="26" t="n"/>
      <c r="D11" s="32" t="n"/>
      <c r="E11" s="26" t="n"/>
      <c r="F11" s="33" t="n"/>
      <c r="G11" s="26" t="n"/>
      <c r="H11" s="146" t="b">
        <v>0</v>
      </c>
      <c r="I11" s="49" t="n"/>
      <c r="J11" s="68" t="n"/>
    </row>
    <row r="12">
      <c r="A12" s="68" t="n"/>
      <c r="B12" s="68" t="n"/>
      <c r="C12" s="26" t="n"/>
      <c r="D12" s="32" t="n"/>
      <c r="E12" s="26" t="n"/>
      <c r="F12" s="33" t="n"/>
      <c r="G12" s="26" t="n"/>
      <c r="H12" s="146" t="b">
        <v>0</v>
      </c>
      <c r="I12" s="49" t="n"/>
      <c r="J12" s="68" t="n"/>
    </row>
    <row r="13">
      <c r="A13" s="68" t="n"/>
      <c r="B13" s="68" t="n"/>
      <c r="C13" s="26" t="n"/>
      <c r="D13" s="32" t="n"/>
      <c r="E13" s="26" t="n"/>
      <c r="F13" s="33" t="n"/>
      <c r="G13" s="26" t="n"/>
      <c r="H13" s="146" t="b">
        <v>0</v>
      </c>
      <c r="I13" s="49" t="n"/>
      <c r="J13" s="68" t="n"/>
    </row>
    <row r="14">
      <c r="A14" s="68" t="n"/>
      <c r="B14" s="68" t="n"/>
      <c r="C14" s="26" t="n"/>
      <c r="D14" s="32" t="n"/>
      <c r="E14" s="26" t="n"/>
      <c r="F14" s="33" t="n"/>
      <c r="G14" s="26" t="n"/>
      <c r="H14" s="146" t="b">
        <v>0</v>
      </c>
      <c r="I14" s="49" t="n"/>
      <c r="J14" s="68" t="n"/>
    </row>
    <row r="15">
      <c r="A15" s="68" t="n"/>
      <c r="B15" s="68" t="n"/>
      <c r="C15" s="26" t="n"/>
      <c r="D15" s="32" t="n"/>
      <c r="E15" s="26" t="n"/>
      <c r="F15" s="33" t="n"/>
      <c r="G15" s="26" t="n"/>
      <c r="H15" s="146" t="b">
        <v>0</v>
      </c>
      <c r="I15" s="49" t="n"/>
      <c r="J15" s="68" t="n"/>
    </row>
    <row r="16">
      <c r="A16" s="68" t="n"/>
      <c r="B16" s="68" t="n"/>
      <c r="C16" s="26" t="n"/>
      <c r="D16" s="32" t="n"/>
      <c r="E16" s="26" t="n"/>
      <c r="F16" s="33" t="n"/>
      <c r="G16" s="26" t="n"/>
      <c r="H16" s="146" t="b">
        <v>0</v>
      </c>
      <c r="I16" s="49" t="n"/>
      <c r="J16" s="68" t="n"/>
    </row>
    <row r="17">
      <c r="A17" s="68" t="n"/>
      <c r="B17" s="68" t="n"/>
      <c r="C17" s="26" t="n"/>
      <c r="D17" s="32" t="n"/>
      <c r="E17" s="26" t="n"/>
      <c r="F17" s="33" t="n"/>
      <c r="G17" s="26" t="n"/>
      <c r="H17" s="146" t="b">
        <v>0</v>
      </c>
      <c r="I17" s="49" t="n"/>
      <c r="J17" s="68" t="n"/>
    </row>
    <row r="18">
      <c r="A18" s="68" t="n"/>
      <c r="B18" s="68" t="n"/>
      <c r="C18" s="26" t="n"/>
      <c r="D18" s="32" t="n"/>
      <c r="E18" s="26" t="n"/>
      <c r="F18" s="33" t="n"/>
      <c r="G18" s="26" t="n"/>
      <c r="H18" s="146" t="b">
        <v>0</v>
      </c>
      <c r="I18" s="49" t="n"/>
      <c r="J18" s="68" t="n"/>
    </row>
    <row r="19">
      <c r="A19" s="68" t="n"/>
      <c r="B19" s="68" t="n"/>
      <c r="C19" s="26" t="n"/>
      <c r="D19" s="32" t="n"/>
      <c r="E19" s="26" t="n"/>
      <c r="F19" s="33" t="n"/>
      <c r="G19" s="26" t="n"/>
      <c r="H19" s="146" t="b">
        <v>0</v>
      </c>
      <c r="I19" s="49" t="n"/>
      <c r="J19" s="68" t="n"/>
    </row>
    <row r="20">
      <c r="A20" s="68" t="n"/>
      <c r="B20" s="68" t="n"/>
      <c r="C20" s="26" t="n"/>
      <c r="D20" s="32" t="n"/>
      <c r="E20" s="26" t="n"/>
      <c r="F20" s="33" t="n"/>
      <c r="G20" s="26" t="n"/>
      <c r="H20" s="146" t="b">
        <v>0</v>
      </c>
      <c r="I20" s="49" t="n"/>
      <c r="J20" s="68" t="n"/>
    </row>
    <row r="21">
      <c r="A21" s="2" t="inlineStr">
        <is>
          <t>TOTALS</t>
        </is>
      </c>
      <c r="C21" s="15">
        <f>SUM(C5:C20)</f>
        <v/>
      </c>
      <c r="E21" s="15">
        <f>SUM(E5:E20)</f>
        <v/>
      </c>
      <c r="G21" s="15">
        <f>SUM(G5:G20)</f>
        <v/>
      </c>
      <c r="H21" s="53" t="n"/>
      <c r="I21" s="53" t="n"/>
    </row>
    <row r="22">
      <c r="A22" s="11" t="inlineStr">
        <is>
          <t>Enter interest rate as a percent (e.g. 24.99%).</t>
        </is>
      </c>
    </row>
  </sheetData>
  <mergeCells count="2">
    <mergeCell ref="A1:J1"/>
    <mergeCell ref="A2:J2"/>
  </mergeCells>
  <dataValidations disablePrompts="1" count="1">
    <dataValidation sqref="B5:B20" showDropDown="0" showInputMessage="0" showErrorMessage="0" allowBlank="1" type="list">
      <formula1>"Credit card,Medical bill,Personal loan,Payday / title loan,Buy-now-pay-later,Student loan,Back taxes (IRS/state),Collections,Rent-to-own,Family / friend loan,Other"</formula1>
      <formula2>0</formula2>
    </dataValidation>
  </dataValidations>
  <pageMargins left="0.75" right="0.75" top="1" bottom="1" header="0.511811023622047" footer="0.511811023622047"/>
  <pageSetup orientation="portrait" fitToHeight="0" horizontalDpi="300" verticalDpi="300"/>
</worksheet>
</file>

<file path=xl/worksheets/sheet6.xml><?xml version="1.0" encoding="utf-8"?>
<worksheet xmlns="http://schemas.openxmlformats.org/spreadsheetml/2006/main">
  <sheetPr>
    <tabColor theme="8"/>
    <outlinePr summaryBelow="1" summaryRight="1"/>
    <pageSetUpPr fitToPage="1"/>
  </sheetPr>
  <dimension ref="A1:AJ158"/>
  <sheetViews>
    <sheetView showGridLines="0" zoomScaleNormal="100" workbookViewId="0">
      <pane xSplit="6" ySplit="6" topLeftCell="G7" activePane="bottomRight" state="frozen"/>
      <selection pane="topRight" activeCell="A1" sqref="A1"/>
      <selection pane="bottomLeft" activeCell="A7" sqref="A7"/>
      <selection pane="bottomRight" activeCell="A1" sqref="A1:AJ1"/>
    </sheetView>
  </sheetViews>
  <sheetFormatPr baseColWidth="10" defaultColWidth="8.6640625" defaultRowHeight="15"/>
  <cols>
    <col width="9" customWidth="1" style="107" min="1" max="1"/>
    <col width="38" customWidth="1" style="107" min="2" max="2"/>
    <col width="13" customWidth="1" style="107" min="3" max="5"/>
    <col width="20" customWidth="1" style="107" min="6" max="6"/>
    <col width="10.83203125" customWidth="1" style="107" min="7" max="12"/>
    <col width="12.83203125" customWidth="1" style="107" min="13" max="13"/>
    <col width="12.5" customWidth="1" style="107" min="14" max="14"/>
    <col width="11" customWidth="1" style="107" min="15" max="19"/>
    <col width="12.5" customWidth="1" style="107" min="20" max="21"/>
    <col width="11" customWidth="1" style="107" min="22" max="26"/>
    <col width="12.5" customWidth="1" style="107" min="27" max="27"/>
    <col width="11" customWidth="1" style="107" min="28" max="35"/>
    <col width="40" customWidth="1" style="107" min="36" max="36"/>
  </cols>
  <sheetData>
    <row r="1" ht="30" customHeight="1" s="107">
      <c r="A1" s="106" t="inlineStr">
        <is>
          <t>Monthly Support Plan (3 months)</t>
        </is>
      </c>
    </row>
    <row r="2" ht="44" customHeight="1" s="107">
      <c r="A2" s="111" t="inlineStr">
        <is>
          <t>Planned support for each expense line for the next 3 months. Enter amounts in the yellow cells under the source covering it (Member, Family, Church, Social Services, Other). Each month has its own Need column (defaults: Month-1 = Total Due incl. past due, Months 2–3 = Monthly Need — overwrite as needed). Each month's Total turns green when that month's need is covered and orange when it isn't; 3-Month Need and Covered − Need use these month needs. Plan start month (C4) dates the plan for the Expenditure Summary.</t>
        </is>
      </c>
    </row>
    <row r="4" ht="16" customHeight="1" s="107" thickBot="1">
      <c r="A4" s="132" t="inlineStr">
        <is>
          <t>Plan start month:</t>
        </is>
      </c>
      <c r="C4" s="34" t="n"/>
      <c r="E4" s="132" t="inlineStr">
        <is>
          <t>Member:</t>
        </is>
      </c>
      <c r="F4" s="128">
        <f>IF(PLAN!B5="","",PLAN!B5)</f>
        <v/>
      </c>
    </row>
    <row r="5" ht="16" customHeight="1" s="107" thickBot="1">
      <c r="G5" s="124">
        <f>"Month-1"&amp;IF($C$4="",""," "&amp;UPPER(TEXT(EDATE($C$4,0),"mmm-yyyy")))</f>
        <v/>
      </c>
      <c r="H5" s="144" t="n"/>
      <c r="I5" s="144" t="n"/>
      <c r="J5" s="144" t="n"/>
      <c r="K5" s="144" t="n"/>
      <c r="L5" s="144" t="n"/>
      <c r="M5" s="145" t="n"/>
      <c r="N5" s="116">
        <f>"Month-2"&amp;IF($C$4="",""," "&amp;UPPER(TEXT(EDATE($C$4,1),"mmm-yyyy")))</f>
        <v/>
      </c>
      <c r="O5" s="144" t="n"/>
      <c r="P5" s="144" t="n"/>
      <c r="Q5" s="144" t="n"/>
      <c r="R5" s="144" t="n"/>
      <c r="S5" s="144" t="n"/>
      <c r="T5" s="145" t="n"/>
      <c r="U5" s="129">
        <f>"Month-3"&amp;IF($C$4="",""," "&amp;UPPER(TEXT(EDATE($C$4,2),"mmm-yyyy")))</f>
        <v/>
      </c>
      <c r="V5" s="144" t="n"/>
      <c r="W5" s="144" t="n"/>
      <c r="X5" s="144" t="n"/>
      <c r="Y5" s="144" t="n"/>
      <c r="Z5" s="144" t="n"/>
      <c r="AA5" s="145" t="n"/>
      <c r="AB5" s="127" t="inlineStr">
        <is>
          <t>3-MONTH TOTALS BY SOURCE</t>
        </is>
      </c>
      <c r="AC5" s="103" t="n"/>
      <c r="AD5" s="103" t="n"/>
      <c r="AE5" s="103" t="n"/>
      <c r="AF5" s="103" t="n"/>
      <c r="AG5" s="103" t="n"/>
      <c r="AH5" s="103" t="n"/>
      <c r="AI5" s="120" t="n"/>
    </row>
    <row r="6" ht="44" customHeight="1" s="107" thickBot="1">
      <c r="A6" s="119" t="inlineStr">
        <is>
          <t>Code</t>
        </is>
      </c>
      <c r="B6" s="119" t="inlineStr">
        <is>
          <t>Expense</t>
        </is>
      </c>
      <c r="C6" s="119" t="inlineStr">
        <is>
          <t>Monthly Need (Expenses)</t>
        </is>
      </c>
      <c r="D6" s="119" t="inlineStr">
        <is>
          <t>Past Due (Expenses)</t>
        </is>
      </c>
      <c r="E6" s="119" t="inlineStr">
        <is>
          <t>Total Due (Need + Past Due)</t>
        </is>
      </c>
      <c r="F6" s="94" t="inlineStr">
        <is>
          <t>Paid To / Vendor</t>
        </is>
      </c>
      <c r="G6" s="95" t="inlineStr">
        <is>
          <t>Member's Month-1 Need</t>
        </is>
      </c>
      <c r="H6" s="95" t="inlineStr">
        <is>
          <t>Member Efforts</t>
        </is>
      </c>
      <c r="I6" s="95" t="inlineStr">
        <is>
          <t>Family Contribution</t>
        </is>
      </c>
      <c r="J6" s="95" t="inlineStr">
        <is>
          <t>Church Assistance</t>
        </is>
      </c>
      <c r="K6" s="95" t="inlineStr">
        <is>
          <t>Social Services</t>
        </is>
      </c>
      <c r="L6" s="95" t="inlineStr">
        <is>
          <t>Other Support</t>
        </is>
      </c>
      <c r="M6" s="95" t="inlineStr">
        <is>
          <t>Month-1 Total</t>
        </is>
      </c>
      <c r="N6" s="96" t="inlineStr">
        <is>
          <t>Member's Month-2 Need</t>
        </is>
      </c>
      <c r="O6" s="96" t="inlineStr">
        <is>
          <t>Member Efforts</t>
        </is>
      </c>
      <c r="P6" s="96" t="inlineStr">
        <is>
          <t>Family Contribution</t>
        </is>
      </c>
      <c r="Q6" s="96" t="inlineStr">
        <is>
          <t>Church Assistance</t>
        </is>
      </c>
      <c r="R6" s="96" t="inlineStr">
        <is>
          <t>Social Services</t>
        </is>
      </c>
      <c r="S6" s="96" t="inlineStr">
        <is>
          <t>Other Support</t>
        </is>
      </c>
      <c r="T6" s="96" t="inlineStr">
        <is>
          <t>Month-2 Total</t>
        </is>
      </c>
      <c r="U6" s="98" t="inlineStr">
        <is>
          <t>Member's Month-3 Need</t>
        </is>
      </c>
      <c r="V6" s="98" t="inlineStr">
        <is>
          <t>Member Efforts</t>
        </is>
      </c>
      <c r="W6" s="98" t="inlineStr">
        <is>
          <t>Family Contribution</t>
        </is>
      </c>
      <c r="X6" s="98" t="inlineStr">
        <is>
          <t>Church Assistance</t>
        </is>
      </c>
      <c r="Y6" s="98" t="inlineStr">
        <is>
          <t>Social Services</t>
        </is>
      </c>
      <c r="Z6" s="98" t="inlineStr">
        <is>
          <t>Other Support</t>
        </is>
      </c>
      <c r="AA6" s="98" t="inlineStr">
        <is>
          <t>Month-3 Total</t>
        </is>
      </c>
      <c r="AB6" s="127" t="inlineStr">
        <is>
          <t>Member</t>
        </is>
      </c>
      <c r="AC6" s="61" t="inlineStr">
        <is>
          <t>Family</t>
        </is>
      </c>
      <c r="AD6" s="61" t="inlineStr">
        <is>
          <t>Church</t>
        </is>
      </c>
      <c r="AE6" s="61" t="inlineStr">
        <is>
          <t>Social Services</t>
        </is>
      </c>
      <c r="AF6" s="61" t="inlineStr">
        <is>
          <t>Other</t>
        </is>
      </c>
      <c r="AG6" s="61" t="inlineStr">
        <is>
          <t>3-Month Total Covered</t>
        </is>
      </c>
      <c r="AH6" s="61" t="inlineStr">
        <is>
          <t>3-Month Need (Month-1 + 2 + 3 Need)</t>
        </is>
      </c>
      <c r="AI6" s="61" t="inlineStr">
        <is>
          <t>Covered − Need</t>
        </is>
      </c>
      <c r="AJ6" s="119" t="inlineStr">
        <is>
          <t>Notes / Conditions</t>
        </is>
      </c>
    </row>
    <row r="7">
      <c r="A7" s="24" t="n"/>
      <c r="B7" s="113" t="inlineStr">
        <is>
          <t>TITHES &amp; OFFERINGS</t>
        </is>
      </c>
      <c r="C7" s="24">
        <f>SUM(C8:C12)</f>
        <v/>
      </c>
      <c r="D7" s="24">
        <f>SUM(D8:D12)</f>
        <v/>
      </c>
      <c r="E7" s="24">
        <f>SUM(E8:E12)</f>
        <v/>
      </c>
      <c r="F7" s="69" t="n"/>
      <c r="G7" s="73">
        <f>SUM(G8:G12)</f>
        <v/>
      </c>
      <c r="H7" s="74">
        <f>SUM(H8:H12)</f>
        <v/>
      </c>
      <c r="I7" s="74">
        <f>SUM(I8:I12)</f>
        <v/>
      </c>
      <c r="J7" s="74">
        <f>SUM(J8:J12)</f>
        <v/>
      </c>
      <c r="K7" s="74">
        <f>SUM(K8:K12)</f>
        <v/>
      </c>
      <c r="L7" s="86">
        <f>SUM(L8:L12)</f>
        <v/>
      </c>
      <c r="M7" s="89">
        <f>SUM(M8:M12)</f>
        <v/>
      </c>
      <c r="N7" s="73">
        <f>SUM(N8:N12)</f>
        <v/>
      </c>
      <c r="O7" s="74">
        <f>SUM(O8:O12)</f>
        <v/>
      </c>
      <c r="P7" s="74">
        <f>SUM(P8:P12)</f>
        <v/>
      </c>
      <c r="Q7" s="74">
        <f>SUM(Q8:Q12)</f>
        <v/>
      </c>
      <c r="R7" s="74">
        <f>SUM(R8:R12)</f>
        <v/>
      </c>
      <c r="S7" s="86">
        <f>SUM(S8:S12)</f>
        <v/>
      </c>
      <c r="T7" s="89">
        <f>SUM(T8:T12)</f>
        <v/>
      </c>
      <c r="U7" s="73">
        <f>SUM(U8:U12)</f>
        <v/>
      </c>
      <c r="V7" s="74">
        <f>SUM(V8:V12)</f>
        <v/>
      </c>
      <c r="W7" s="74">
        <f>SUM(W8:W12)</f>
        <v/>
      </c>
      <c r="X7" s="74">
        <f>SUM(X8:X12)</f>
        <v/>
      </c>
      <c r="Y7" s="74">
        <f>SUM(Y8:Y12)</f>
        <v/>
      </c>
      <c r="Z7" s="75">
        <f>SUM(Z8:Z12)</f>
        <v/>
      </c>
      <c r="AA7" s="89">
        <f>SUM(AA8:AA12)</f>
        <v/>
      </c>
      <c r="AB7" s="71">
        <f>SUM(AB8:AB12)</f>
        <v/>
      </c>
      <c r="AC7" s="24">
        <f>SUM(AC8:AC12)</f>
        <v/>
      </c>
      <c r="AD7" s="24">
        <f>SUM(AD8:AD12)</f>
        <v/>
      </c>
      <c r="AE7" s="24">
        <f>SUM(AE8:AE12)</f>
        <v/>
      </c>
      <c r="AF7" s="24">
        <f>SUM(AF8:AF12)</f>
        <v/>
      </c>
      <c r="AG7" s="24">
        <f>SUM(AG8:AG12)</f>
        <v/>
      </c>
      <c r="AH7" s="24">
        <f>SUM(AH8:AH12)</f>
        <v/>
      </c>
      <c r="AI7" s="24">
        <f>SUM(AI8:AI12)</f>
        <v/>
      </c>
      <c r="AJ7" s="24" t="n"/>
    </row>
    <row r="8">
      <c r="A8" s="35">
        <f>EXPENSES!L6</f>
        <v/>
      </c>
      <c r="B8" s="36">
        <f>EXPENSES!B6</f>
        <v/>
      </c>
      <c r="C8" s="37">
        <f>EXPENSES!E6</f>
        <v/>
      </c>
      <c r="D8" s="37">
        <f>EXPENSES!I6</f>
        <v/>
      </c>
      <c r="E8" s="37">
        <f>C8+D8</f>
        <v/>
      </c>
      <c r="F8" s="70" t="n"/>
      <c r="G8" s="76" t="n"/>
      <c r="H8" s="77" t="n"/>
      <c r="I8" s="77" t="n"/>
      <c r="J8" s="77" t="n"/>
      <c r="K8" s="77" t="n"/>
      <c r="L8" s="87" t="n"/>
      <c r="M8" s="90">
        <f>SUM(H8:L8)</f>
        <v/>
      </c>
      <c r="N8" s="76" t="n"/>
      <c r="O8" s="77" t="n"/>
      <c r="P8" s="77" t="n"/>
      <c r="Q8" s="77" t="n"/>
      <c r="R8" s="77" t="n"/>
      <c r="S8" s="87" t="n"/>
      <c r="T8" s="90">
        <f>SUM(O8:S8)</f>
        <v/>
      </c>
      <c r="U8" s="76" t="n"/>
      <c r="V8" s="77" t="n"/>
      <c r="W8" s="77" t="n"/>
      <c r="X8" s="77" t="n"/>
      <c r="Y8" s="77" t="n"/>
      <c r="Z8" s="99" t="n"/>
      <c r="AA8" s="90">
        <f>SUM(V8:Z8)</f>
        <v/>
      </c>
      <c r="AB8" s="100">
        <f>H8+O8+V8</f>
        <v/>
      </c>
      <c r="AC8" s="62">
        <f>I8+P8+W8</f>
        <v/>
      </c>
      <c r="AD8" s="62">
        <f>J8+Q8+X8</f>
        <v/>
      </c>
      <c r="AE8" s="62">
        <f>K8+R8+Y8</f>
        <v/>
      </c>
      <c r="AF8" s="62">
        <f>L8+S8+Z8</f>
        <v/>
      </c>
      <c r="AG8" s="15">
        <f>M8+T8+AA8</f>
        <v/>
      </c>
      <c r="AH8" s="62">
        <f>G8+N8+U8</f>
        <v/>
      </c>
      <c r="AI8" s="63">
        <f>AG8-AH8</f>
        <v/>
      </c>
      <c r="AJ8" s="68" t="n"/>
    </row>
    <row r="9">
      <c r="A9" s="35">
        <f>EXPENSES!L7</f>
        <v/>
      </c>
      <c r="B9" s="36">
        <f>EXPENSES!B7</f>
        <v/>
      </c>
      <c r="C9" s="37">
        <f>EXPENSES!E7</f>
        <v/>
      </c>
      <c r="D9" s="37">
        <f>EXPENSES!I7</f>
        <v/>
      </c>
      <c r="E9" s="37">
        <f>C9+D9</f>
        <v/>
      </c>
      <c r="F9" s="70" t="n"/>
      <c r="G9" s="76" t="n"/>
      <c r="H9" s="77" t="n"/>
      <c r="I9" s="77" t="n"/>
      <c r="J9" s="77" t="n"/>
      <c r="K9" s="77" t="n"/>
      <c r="L9" s="87" t="n"/>
      <c r="M9" s="90">
        <f>SUM(H9:L9)</f>
        <v/>
      </c>
      <c r="N9" s="76" t="n"/>
      <c r="O9" s="77" t="n"/>
      <c r="P9" s="77" t="n"/>
      <c r="Q9" s="77" t="n"/>
      <c r="R9" s="77" t="n"/>
      <c r="S9" s="87" t="n"/>
      <c r="T9" s="90">
        <f>SUM(O9:S9)</f>
        <v/>
      </c>
      <c r="U9" s="76" t="n"/>
      <c r="V9" s="77" t="n"/>
      <c r="W9" s="77" t="n"/>
      <c r="X9" s="77" t="n"/>
      <c r="Y9" s="77" t="n"/>
      <c r="Z9" s="99" t="n"/>
      <c r="AA9" s="90">
        <f>SUM(V9:Z9)</f>
        <v/>
      </c>
      <c r="AB9" s="100">
        <f>H9+O9+V9</f>
        <v/>
      </c>
      <c r="AC9" s="62">
        <f>I9+P9+W9</f>
        <v/>
      </c>
      <c r="AD9" s="62">
        <f>J9+Q9+X9</f>
        <v/>
      </c>
      <c r="AE9" s="62">
        <f>K9+R9+Y9</f>
        <v/>
      </c>
      <c r="AF9" s="62">
        <f>L9+S9+Z9</f>
        <v/>
      </c>
      <c r="AG9" s="15">
        <f>M9+T9+AA9</f>
        <v/>
      </c>
      <c r="AH9" s="62">
        <f>G9+N9+U9</f>
        <v/>
      </c>
      <c r="AI9" s="63">
        <f>AG9-AH9</f>
        <v/>
      </c>
      <c r="AJ9" s="68" t="n"/>
    </row>
    <row r="10">
      <c r="A10" s="35">
        <f>EXPENSES!L8</f>
        <v/>
      </c>
      <c r="B10" s="36">
        <f>EXPENSES!B8</f>
        <v/>
      </c>
      <c r="C10" s="37">
        <f>EXPENSES!E8</f>
        <v/>
      </c>
      <c r="D10" s="37">
        <f>EXPENSES!I8</f>
        <v/>
      </c>
      <c r="E10" s="37">
        <f>C10+D10</f>
        <v/>
      </c>
      <c r="F10" s="70" t="n"/>
      <c r="G10" s="76" t="n"/>
      <c r="H10" s="77" t="n"/>
      <c r="I10" s="77" t="n"/>
      <c r="J10" s="77" t="n"/>
      <c r="K10" s="77" t="n"/>
      <c r="L10" s="87" t="n"/>
      <c r="M10" s="90">
        <f>SUM(H10:L10)</f>
        <v/>
      </c>
      <c r="N10" s="76" t="n"/>
      <c r="O10" s="77" t="n"/>
      <c r="P10" s="77" t="n"/>
      <c r="Q10" s="77" t="n"/>
      <c r="R10" s="77" t="n"/>
      <c r="S10" s="87" t="n"/>
      <c r="T10" s="90">
        <f>SUM(O10:S10)</f>
        <v/>
      </c>
      <c r="U10" s="76" t="n"/>
      <c r="V10" s="77" t="n"/>
      <c r="W10" s="77" t="n"/>
      <c r="X10" s="77" t="n"/>
      <c r="Y10" s="77" t="n"/>
      <c r="Z10" s="99" t="n"/>
      <c r="AA10" s="90">
        <f>SUM(V10:Z10)</f>
        <v/>
      </c>
      <c r="AB10" s="100">
        <f>H10+O10+V10</f>
        <v/>
      </c>
      <c r="AC10" s="62">
        <f>I10+P10+W10</f>
        <v/>
      </c>
      <c r="AD10" s="62">
        <f>J10+Q10+X10</f>
        <v/>
      </c>
      <c r="AE10" s="62">
        <f>K10+R10+Y10</f>
        <v/>
      </c>
      <c r="AF10" s="62">
        <f>L10+S10+Z10</f>
        <v/>
      </c>
      <c r="AG10" s="15">
        <f>M10+T10+AA10</f>
        <v/>
      </c>
      <c r="AH10" s="62">
        <f>G10+N10+U10</f>
        <v/>
      </c>
      <c r="AI10" s="63">
        <f>AG10-AH10</f>
        <v/>
      </c>
      <c r="AJ10" s="68" t="n"/>
    </row>
    <row r="11">
      <c r="A11" s="35">
        <f>EXPENSES!L9</f>
        <v/>
      </c>
      <c r="B11" s="36">
        <f>EXPENSES!B9</f>
        <v/>
      </c>
      <c r="C11" s="37">
        <f>EXPENSES!E9</f>
        <v/>
      </c>
      <c r="D11" s="37">
        <f>EXPENSES!I9</f>
        <v/>
      </c>
      <c r="E11" s="37">
        <f>C11+D11</f>
        <v/>
      </c>
      <c r="F11" s="70" t="n"/>
      <c r="G11" s="76" t="n"/>
      <c r="H11" s="77" t="n"/>
      <c r="I11" s="77" t="n"/>
      <c r="J11" s="77" t="n"/>
      <c r="K11" s="77" t="n"/>
      <c r="L11" s="87" t="n"/>
      <c r="M11" s="90">
        <f>SUM(H11:L11)</f>
        <v/>
      </c>
      <c r="N11" s="76" t="n"/>
      <c r="O11" s="77" t="n"/>
      <c r="P11" s="77" t="n"/>
      <c r="Q11" s="77" t="n"/>
      <c r="R11" s="77" t="n"/>
      <c r="S11" s="87" t="n"/>
      <c r="T11" s="90">
        <f>SUM(O11:S11)</f>
        <v/>
      </c>
      <c r="U11" s="76" t="n"/>
      <c r="V11" s="77" t="n"/>
      <c r="W11" s="77" t="n"/>
      <c r="X11" s="77" t="n"/>
      <c r="Y11" s="77" t="n"/>
      <c r="Z11" s="99" t="n"/>
      <c r="AA11" s="90">
        <f>SUM(V11:Z11)</f>
        <v/>
      </c>
      <c r="AB11" s="100">
        <f>H11+O11+V11</f>
        <v/>
      </c>
      <c r="AC11" s="62">
        <f>I11+P11+W11</f>
        <v/>
      </c>
      <c r="AD11" s="62">
        <f>J11+Q11+X11</f>
        <v/>
      </c>
      <c r="AE11" s="62">
        <f>K11+R11+Y11</f>
        <v/>
      </c>
      <c r="AF11" s="62">
        <f>L11+S11+Z11</f>
        <v/>
      </c>
      <c r="AG11" s="15">
        <f>M11+T11+AA11</f>
        <v/>
      </c>
      <c r="AH11" s="62">
        <f>G11+N11+U11</f>
        <v/>
      </c>
      <c r="AI11" s="63">
        <f>AG11-AH11</f>
        <v/>
      </c>
      <c r="AJ11" s="68" t="n"/>
    </row>
    <row r="12">
      <c r="A12" s="35">
        <f>EXPENSES!L10</f>
        <v/>
      </c>
      <c r="B12" s="36">
        <f>EXPENSES!B10</f>
        <v/>
      </c>
      <c r="C12" s="37">
        <f>EXPENSES!E10</f>
        <v/>
      </c>
      <c r="D12" s="37">
        <f>EXPENSES!I10</f>
        <v/>
      </c>
      <c r="E12" s="37">
        <f>C12+D12</f>
        <v/>
      </c>
      <c r="F12" s="70" t="n"/>
      <c r="G12" s="76" t="n"/>
      <c r="H12" s="77" t="n"/>
      <c r="I12" s="77" t="n"/>
      <c r="J12" s="77" t="n"/>
      <c r="K12" s="77" t="n"/>
      <c r="L12" s="87" t="n"/>
      <c r="M12" s="90">
        <f>SUM(H12:L12)</f>
        <v/>
      </c>
      <c r="N12" s="76" t="n"/>
      <c r="O12" s="77" t="n"/>
      <c r="P12" s="77" t="n"/>
      <c r="Q12" s="77" t="n"/>
      <c r="R12" s="77" t="n"/>
      <c r="S12" s="87" t="n"/>
      <c r="T12" s="90">
        <f>SUM(O12:S12)</f>
        <v/>
      </c>
      <c r="U12" s="76" t="n"/>
      <c r="V12" s="77" t="n"/>
      <c r="W12" s="77" t="n"/>
      <c r="X12" s="77" t="n"/>
      <c r="Y12" s="77" t="n"/>
      <c r="Z12" s="99" t="n"/>
      <c r="AA12" s="90">
        <f>SUM(V12:Z12)</f>
        <v/>
      </c>
      <c r="AB12" s="100">
        <f>H12+O12+V12</f>
        <v/>
      </c>
      <c r="AC12" s="62">
        <f>I12+P12+W12</f>
        <v/>
      </c>
      <c r="AD12" s="62">
        <f>J12+Q12+X12</f>
        <v/>
      </c>
      <c r="AE12" s="62">
        <f>K12+R12+Y12</f>
        <v/>
      </c>
      <c r="AF12" s="62">
        <f>L12+S12+Z12</f>
        <v/>
      </c>
      <c r="AG12" s="15">
        <f>M12+T12+AA12</f>
        <v/>
      </c>
      <c r="AH12" s="62">
        <f>G12+N12+U12</f>
        <v/>
      </c>
      <c r="AI12" s="63">
        <f>AG12-AH12</f>
        <v/>
      </c>
      <c r="AJ12" s="68" t="n"/>
    </row>
    <row r="13">
      <c r="A13" s="24" t="n"/>
      <c r="B13" s="113" t="inlineStr">
        <is>
          <t>HOUSING</t>
        </is>
      </c>
      <c r="C13" s="24">
        <f>SUM(C14:C21)</f>
        <v/>
      </c>
      <c r="D13" s="24">
        <f>SUM(D14:D21)</f>
        <v/>
      </c>
      <c r="E13" s="24">
        <f>SUM(E14:E21)</f>
        <v/>
      </c>
      <c r="F13" s="69" t="n"/>
      <c r="G13" s="78">
        <f>SUM(G14:G21)</f>
        <v/>
      </c>
      <c r="H13" s="79">
        <f>SUM(H14:H21)</f>
        <v/>
      </c>
      <c r="I13" s="79">
        <f>SUM(I14:I21)</f>
        <v/>
      </c>
      <c r="J13" s="79">
        <f>SUM(J14:J21)</f>
        <v/>
      </c>
      <c r="K13" s="79">
        <f>SUM(K14:K21)</f>
        <v/>
      </c>
      <c r="L13" s="69">
        <f>SUM(L14:L21)</f>
        <v/>
      </c>
      <c r="M13" s="91">
        <f>SUM(M14:M21)</f>
        <v/>
      </c>
      <c r="N13" s="78">
        <f>SUM(N14:N21)</f>
        <v/>
      </c>
      <c r="O13" s="79">
        <f>SUM(O14:O21)</f>
        <v/>
      </c>
      <c r="P13" s="79">
        <f>SUM(P14:P21)</f>
        <v/>
      </c>
      <c r="Q13" s="79">
        <f>SUM(Q14:Q21)</f>
        <v/>
      </c>
      <c r="R13" s="79">
        <f>SUM(R14:R21)</f>
        <v/>
      </c>
      <c r="S13" s="69">
        <f>SUM(S14:S21)</f>
        <v/>
      </c>
      <c r="T13" s="91">
        <f>SUM(T14:T21)</f>
        <v/>
      </c>
      <c r="U13" s="78">
        <f>SUM(U14:U21)</f>
        <v/>
      </c>
      <c r="V13" s="79">
        <f>SUM(V14:V21)</f>
        <v/>
      </c>
      <c r="W13" s="79">
        <f>SUM(W14:W21)</f>
        <v/>
      </c>
      <c r="X13" s="79">
        <f>SUM(X14:X21)</f>
        <v/>
      </c>
      <c r="Y13" s="79">
        <f>SUM(Y14:Y21)</f>
        <v/>
      </c>
      <c r="Z13" s="80">
        <f>SUM(Z14:Z21)</f>
        <v/>
      </c>
      <c r="AA13" s="91">
        <f>SUM(AA14:AA21)</f>
        <v/>
      </c>
      <c r="AB13" s="71">
        <f>SUM(AB14:AB21)</f>
        <v/>
      </c>
      <c r="AC13" s="24">
        <f>SUM(AC14:AC21)</f>
        <v/>
      </c>
      <c r="AD13" s="24">
        <f>SUM(AD14:AD21)</f>
        <v/>
      </c>
      <c r="AE13" s="24">
        <f>SUM(AE14:AE21)</f>
        <v/>
      </c>
      <c r="AF13" s="24">
        <f>SUM(AF14:AF21)</f>
        <v/>
      </c>
      <c r="AG13" s="24">
        <f>SUM(AG14:AG21)</f>
        <v/>
      </c>
      <c r="AH13" s="24">
        <f>SUM(AH14:AH21)</f>
        <v/>
      </c>
      <c r="AI13" s="24">
        <f>SUM(AI14:AI21)</f>
        <v/>
      </c>
      <c r="AJ13" s="24" t="n"/>
    </row>
    <row r="14">
      <c r="A14" s="35">
        <f>EXPENSES!L12</f>
        <v/>
      </c>
      <c r="B14" s="36">
        <f>EXPENSES!B12</f>
        <v/>
      </c>
      <c r="C14" s="37">
        <f>EXPENSES!E12</f>
        <v/>
      </c>
      <c r="D14" s="37">
        <f>EXPENSES!I12</f>
        <v/>
      </c>
      <c r="E14" s="37">
        <f>C14+D14</f>
        <v/>
      </c>
      <c r="F14" s="70" t="n"/>
      <c r="G14" s="76" t="n"/>
      <c r="H14" s="77" t="n"/>
      <c r="I14" s="77" t="n"/>
      <c r="J14" s="77" t="n"/>
      <c r="K14" s="77" t="n"/>
      <c r="L14" s="87" t="n"/>
      <c r="M14" s="90">
        <f>SUM(H14:L14)</f>
        <v/>
      </c>
      <c r="N14" s="76" t="n"/>
      <c r="O14" s="77" t="n"/>
      <c r="P14" s="77" t="n"/>
      <c r="Q14" s="77" t="n"/>
      <c r="R14" s="77" t="n"/>
      <c r="S14" s="87" t="n"/>
      <c r="T14" s="90">
        <f>SUM(O14:S14)</f>
        <v/>
      </c>
      <c r="U14" s="76" t="n"/>
      <c r="V14" s="77" t="n"/>
      <c r="W14" s="77" t="n"/>
      <c r="X14" s="77" t="n"/>
      <c r="Y14" s="77" t="n"/>
      <c r="Z14" s="99" t="n"/>
      <c r="AA14" s="90">
        <f>SUM(V14:Z14)</f>
        <v/>
      </c>
      <c r="AB14" s="100">
        <f>H14+O14+V14</f>
        <v/>
      </c>
      <c r="AC14" s="62">
        <f>I14+P14+W14</f>
        <v/>
      </c>
      <c r="AD14" s="62">
        <f>J14+Q14+X14</f>
        <v/>
      </c>
      <c r="AE14" s="62">
        <f>K14+R14+Y14</f>
        <v/>
      </c>
      <c r="AF14" s="62">
        <f>L14+S14+Z14</f>
        <v/>
      </c>
      <c r="AG14" s="15">
        <f>M14+T14+AA14</f>
        <v/>
      </c>
      <c r="AH14" s="62">
        <f>G14+N14+U14</f>
        <v/>
      </c>
      <c r="AI14" s="63">
        <f>AG14-AH14</f>
        <v/>
      </c>
      <c r="AJ14" s="68" t="n"/>
    </row>
    <row r="15">
      <c r="A15" s="35">
        <f>EXPENSES!L13</f>
        <v/>
      </c>
      <c r="B15" s="36">
        <f>EXPENSES!B13</f>
        <v/>
      </c>
      <c r="C15" s="37">
        <f>EXPENSES!E13</f>
        <v/>
      </c>
      <c r="D15" s="37">
        <f>EXPENSES!I13</f>
        <v/>
      </c>
      <c r="E15" s="37">
        <f>C15+D15</f>
        <v/>
      </c>
      <c r="F15" s="70" t="n"/>
      <c r="G15" s="76" t="n"/>
      <c r="H15" s="77" t="n"/>
      <c r="I15" s="77" t="n"/>
      <c r="J15" s="77" t="n"/>
      <c r="K15" s="77" t="n"/>
      <c r="L15" s="87" t="n"/>
      <c r="M15" s="90">
        <f>SUM(H15:L15)</f>
        <v/>
      </c>
      <c r="N15" s="76" t="n"/>
      <c r="O15" s="77" t="n"/>
      <c r="P15" s="77" t="n"/>
      <c r="Q15" s="77" t="n"/>
      <c r="R15" s="77" t="n"/>
      <c r="S15" s="87" t="n"/>
      <c r="T15" s="90">
        <f>SUM(O15:S15)</f>
        <v/>
      </c>
      <c r="U15" s="76" t="n"/>
      <c r="V15" s="77" t="n"/>
      <c r="W15" s="77" t="n"/>
      <c r="X15" s="77" t="n"/>
      <c r="Y15" s="77" t="n"/>
      <c r="Z15" s="99" t="n"/>
      <c r="AA15" s="90">
        <f>SUM(V15:Z15)</f>
        <v/>
      </c>
      <c r="AB15" s="100">
        <f>H15+O15+V15</f>
        <v/>
      </c>
      <c r="AC15" s="62">
        <f>I15+P15+W15</f>
        <v/>
      </c>
      <c r="AD15" s="62">
        <f>J15+Q15+X15</f>
        <v/>
      </c>
      <c r="AE15" s="62">
        <f>K15+R15+Y15</f>
        <v/>
      </c>
      <c r="AF15" s="62">
        <f>L15+S15+Z15</f>
        <v/>
      </c>
      <c r="AG15" s="15">
        <f>M15+T15+AA15</f>
        <v/>
      </c>
      <c r="AH15" s="62">
        <f>G15+N15+U15</f>
        <v/>
      </c>
      <c r="AI15" s="63">
        <f>AG15-AH15</f>
        <v/>
      </c>
      <c r="AJ15" s="68" t="n"/>
    </row>
    <row r="16">
      <c r="A16" s="35">
        <f>EXPENSES!L14</f>
        <v/>
      </c>
      <c r="B16" s="36">
        <f>EXPENSES!B14</f>
        <v/>
      </c>
      <c r="C16" s="37">
        <f>EXPENSES!E14</f>
        <v/>
      </c>
      <c r="D16" s="37">
        <f>EXPENSES!I14</f>
        <v/>
      </c>
      <c r="E16" s="37">
        <f>C16+D16</f>
        <v/>
      </c>
      <c r="F16" s="70" t="n"/>
      <c r="G16" s="76" t="n"/>
      <c r="H16" s="77" t="n"/>
      <c r="I16" s="77" t="n"/>
      <c r="J16" s="77" t="n"/>
      <c r="K16" s="77" t="n"/>
      <c r="L16" s="87" t="n"/>
      <c r="M16" s="90">
        <f>SUM(H16:L16)</f>
        <v/>
      </c>
      <c r="N16" s="76" t="n"/>
      <c r="O16" s="77" t="n"/>
      <c r="P16" s="77" t="n"/>
      <c r="Q16" s="77" t="n"/>
      <c r="R16" s="77" t="n"/>
      <c r="S16" s="87" t="n"/>
      <c r="T16" s="90">
        <f>SUM(O16:S16)</f>
        <v/>
      </c>
      <c r="U16" s="76" t="n"/>
      <c r="V16" s="77" t="n"/>
      <c r="W16" s="77" t="n"/>
      <c r="X16" s="77" t="n"/>
      <c r="Y16" s="77" t="n"/>
      <c r="Z16" s="99" t="n"/>
      <c r="AA16" s="90">
        <f>SUM(V16:Z16)</f>
        <v/>
      </c>
      <c r="AB16" s="100">
        <f>H16+O16+V16</f>
        <v/>
      </c>
      <c r="AC16" s="62">
        <f>I16+P16+W16</f>
        <v/>
      </c>
      <c r="AD16" s="62">
        <f>J16+Q16+X16</f>
        <v/>
      </c>
      <c r="AE16" s="62">
        <f>K16+R16+Y16</f>
        <v/>
      </c>
      <c r="AF16" s="62">
        <f>L16+S16+Z16</f>
        <v/>
      </c>
      <c r="AG16" s="15">
        <f>M16+T16+AA16</f>
        <v/>
      </c>
      <c r="AH16" s="62">
        <f>G16+N16+U16</f>
        <v/>
      </c>
      <c r="AI16" s="63">
        <f>AG16-AH16</f>
        <v/>
      </c>
      <c r="AJ16" s="68" t="n"/>
    </row>
    <row r="17">
      <c r="A17" s="35">
        <f>EXPENSES!L15</f>
        <v/>
      </c>
      <c r="B17" s="36">
        <f>EXPENSES!B15</f>
        <v/>
      </c>
      <c r="C17" s="37">
        <f>EXPENSES!E15</f>
        <v/>
      </c>
      <c r="D17" s="37">
        <f>EXPENSES!I15</f>
        <v/>
      </c>
      <c r="E17" s="37">
        <f>C17+D17</f>
        <v/>
      </c>
      <c r="F17" s="70" t="n"/>
      <c r="G17" s="76" t="n"/>
      <c r="H17" s="77" t="n"/>
      <c r="I17" s="77" t="n"/>
      <c r="J17" s="77" t="n"/>
      <c r="K17" s="77" t="n"/>
      <c r="L17" s="87" t="n"/>
      <c r="M17" s="90">
        <f>SUM(H17:L17)</f>
        <v/>
      </c>
      <c r="N17" s="76" t="n"/>
      <c r="O17" s="77" t="n"/>
      <c r="P17" s="77" t="n"/>
      <c r="Q17" s="77" t="n"/>
      <c r="R17" s="77" t="n"/>
      <c r="S17" s="87" t="n"/>
      <c r="T17" s="90">
        <f>SUM(O17:S17)</f>
        <v/>
      </c>
      <c r="U17" s="76" t="n"/>
      <c r="V17" s="77" t="n"/>
      <c r="W17" s="77" t="n"/>
      <c r="X17" s="77" t="n"/>
      <c r="Y17" s="77" t="n"/>
      <c r="Z17" s="99" t="n"/>
      <c r="AA17" s="90">
        <f>SUM(V17:Z17)</f>
        <v/>
      </c>
      <c r="AB17" s="100">
        <f>H17+O17+V17</f>
        <v/>
      </c>
      <c r="AC17" s="62">
        <f>I17+P17+W17</f>
        <v/>
      </c>
      <c r="AD17" s="62">
        <f>J17+Q17+X17</f>
        <v/>
      </c>
      <c r="AE17" s="62">
        <f>K17+R17+Y17</f>
        <v/>
      </c>
      <c r="AF17" s="62">
        <f>L17+S17+Z17</f>
        <v/>
      </c>
      <c r="AG17" s="15">
        <f>M17+T17+AA17</f>
        <v/>
      </c>
      <c r="AH17" s="62">
        <f>G17+N17+U17</f>
        <v/>
      </c>
      <c r="AI17" s="63">
        <f>AG17-AH17</f>
        <v/>
      </c>
      <c r="AJ17" s="68" t="n"/>
    </row>
    <row r="18">
      <c r="A18" s="35">
        <f>EXPENSES!L16</f>
        <v/>
      </c>
      <c r="B18" s="36">
        <f>EXPENSES!B16</f>
        <v/>
      </c>
      <c r="C18" s="37">
        <f>EXPENSES!E16</f>
        <v/>
      </c>
      <c r="D18" s="37">
        <f>EXPENSES!I16</f>
        <v/>
      </c>
      <c r="E18" s="37">
        <f>C18+D18</f>
        <v/>
      </c>
      <c r="F18" s="70" t="n"/>
      <c r="G18" s="76" t="n"/>
      <c r="H18" s="77" t="n"/>
      <c r="I18" s="77" t="n"/>
      <c r="J18" s="77" t="n"/>
      <c r="K18" s="77" t="n"/>
      <c r="L18" s="87" t="n"/>
      <c r="M18" s="90">
        <f>SUM(H18:L18)</f>
        <v/>
      </c>
      <c r="N18" s="76" t="n"/>
      <c r="O18" s="77" t="n"/>
      <c r="P18" s="77" t="n"/>
      <c r="Q18" s="77" t="n"/>
      <c r="R18" s="77" t="n"/>
      <c r="S18" s="87" t="n"/>
      <c r="T18" s="90">
        <f>SUM(O18:S18)</f>
        <v/>
      </c>
      <c r="U18" s="76" t="n"/>
      <c r="V18" s="77" t="n"/>
      <c r="W18" s="77" t="n"/>
      <c r="X18" s="77" t="n"/>
      <c r="Y18" s="77" t="n"/>
      <c r="Z18" s="99" t="n"/>
      <c r="AA18" s="90">
        <f>SUM(V18:Z18)</f>
        <v/>
      </c>
      <c r="AB18" s="100">
        <f>H18+O18+V18</f>
        <v/>
      </c>
      <c r="AC18" s="62">
        <f>I18+P18+W18</f>
        <v/>
      </c>
      <c r="AD18" s="62">
        <f>J18+Q18+X18</f>
        <v/>
      </c>
      <c r="AE18" s="62">
        <f>K18+R18+Y18</f>
        <v/>
      </c>
      <c r="AF18" s="62">
        <f>L18+S18+Z18</f>
        <v/>
      </c>
      <c r="AG18" s="15">
        <f>M18+T18+AA18</f>
        <v/>
      </c>
      <c r="AH18" s="62">
        <f>G18+N18+U18</f>
        <v/>
      </c>
      <c r="AI18" s="63">
        <f>AG18-AH18</f>
        <v/>
      </c>
      <c r="AJ18" s="68" t="n"/>
    </row>
    <row r="19">
      <c r="A19" s="35">
        <f>EXPENSES!L17</f>
        <v/>
      </c>
      <c r="B19" s="36">
        <f>EXPENSES!B17</f>
        <v/>
      </c>
      <c r="C19" s="37">
        <f>EXPENSES!E17</f>
        <v/>
      </c>
      <c r="D19" s="37">
        <f>EXPENSES!I17</f>
        <v/>
      </c>
      <c r="E19" s="37">
        <f>C19+D19</f>
        <v/>
      </c>
      <c r="F19" s="70" t="n"/>
      <c r="G19" s="76" t="n"/>
      <c r="H19" s="77" t="n"/>
      <c r="I19" s="77" t="n"/>
      <c r="J19" s="77" t="n"/>
      <c r="K19" s="77" t="n"/>
      <c r="L19" s="87" t="n"/>
      <c r="M19" s="90">
        <f>SUM(H19:L19)</f>
        <v/>
      </c>
      <c r="N19" s="76" t="n"/>
      <c r="O19" s="77" t="n"/>
      <c r="P19" s="77" t="n"/>
      <c r="Q19" s="77" t="n"/>
      <c r="R19" s="77" t="n"/>
      <c r="S19" s="87" t="n"/>
      <c r="T19" s="90">
        <f>SUM(O19:S19)</f>
        <v/>
      </c>
      <c r="U19" s="76" t="n"/>
      <c r="V19" s="77" t="n"/>
      <c r="W19" s="77" t="n"/>
      <c r="X19" s="77" t="n"/>
      <c r="Y19" s="77" t="n"/>
      <c r="Z19" s="99" t="n"/>
      <c r="AA19" s="90">
        <f>SUM(V19:Z19)</f>
        <v/>
      </c>
      <c r="AB19" s="100">
        <f>H19+O19+V19</f>
        <v/>
      </c>
      <c r="AC19" s="62">
        <f>I19+P19+W19</f>
        <v/>
      </c>
      <c r="AD19" s="62">
        <f>J19+Q19+X19</f>
        <v/>
      </c>
      <c r="AE19" s="62">
        <f>K19+R19+Y19</f>
        <v/>
      </c>
      <c r="AF19" s="62">
        <f>L19+S19+Z19</f>
        <v/>
      </c>
      <c r="AG19" s="15">
        <f>M19+T19+AA19</f>
        <v/>
      </c>
      <c r="AH19" s="62">
        <f>G19+N19+U19</f>
        <v/>
      </c>
      <c r="AI19" s="63">
        <f>AG19-AH19</f>
        <v/>
      </c>
      <c r="AJ19" s="68" t="n"/>
    </row>
    <row r="20">
      <c r="A20" s="35">
        <f>EXPENSES!L18</f>
        <v/>
      </c>
      <c r="B20" s="36">
        <f>EXPENSES!B18</f>
        <v/>
      </c>
      <c r="C20" s="37">
        <f>EXPENSES!E18</f>
        <v/>
      </c>
      <c r="D20" s="37">
        <f>EXPENSES!I18</f>
        <v/>
      </c>
      <c r="E20" s="37">
        <f>C20+D20</f>
        <v/>
      </c>
      <c r="F20" s="70" t="n"/>
      <c r="G20" s="76" t="n"/>
      <c r="H20" s="77" t="n"/>
      <c r="I20" s="77" t="n"/>
      <c r="J20" s="77" t="n"/>
      <c r="K20" s="77" t="n"/>
      <c r="L20" s="87" t="n"/>
      <c r="M20" s="90">
        <f>SUM(H20:L20)</f>
        <v/>
      </c>
      <c r="N20" s="76" t="n"/>
      <c r="O20" s="77" t="n"/>
      <c r="P20" s="77" t="n"/>
      <c r="Q20" s="77" t="n"/>
      <c r="R20" s="77" t="n"/>
      <c r="S20" s="87" t="n"/>
      <c r="T20" s="90">
        <f>SUM(O20:S20)</f>
        <v/>
      </c>
      <c r="U20" s="76" t="n"/>
      <c r="V20" s="77" t="n"/>
      <c r="W20" s="77" t="n"/>
      <c r="X20" s="77" t="n"/>
      <c r="Y20" s="77" t="n"/>
      <c r="Z20" s="99" t="n"/>
      <c r="AA20" s="90">
        <f>SUM(V20:Z20)</f>
        <v/>
      </c>
      <c r="AB20" s="100">
        <f>H20+O20+V20</f>
        <v/>
      </c>
      <c r="AC20" s="62">
        <f>I20+P20+W20</f>
        <v/>
      </c>
      <c r="AD20" s="62">
        <f>J20+Q20+X20</f>
        <v/>
      </c>
      <c r="AE20" s="62">
        <f>K20+R20+Y20</f>
        <v/>
      </c>
      <c r="AF20" s="62">
        <f>L20+S20+Z20</f>
        <v/>
      </c>
      <c r="AG20" s="15">
        <f>M20+T20+AA20</f>
        <v/>
      </c>
      <c r="AH20" s="62">
        <f>G20+N20+U20</f>
        <v/>
      </c>
      <c r="AI20" s="63">
        <f>AG20-AH20</f>
        <v/>
      </c>
      <c r="AJ20" s="68" t="n"/>
    </row>
    <row r="21">
      <c r="A21" s="35">
        <f>EXPENSES!L19</f>
        <v/>
      </c>
      <c r="B21" s="36">
        <f>EXPENSES!B19</f>
        <v/>
      </c>
      <c r="C21" s="37">
        <f>EXPENSES!E19</f>
        <v/>
      </c>
      <c r="D21" s="37">
        <f>EXPENSES!I19</f>
        <v/>
      </c>
      <c r="E21" s="37">
        <f>C21+D21</f>
        <v/>
      </c>
      <c r="F21" s="70" t="n"/>
      <c r="G21" s="76" t="n"/>
      <c r="H21" s="77" t="n"/>
      <c r="I21" s="77" t="n"/>
      <c r="J21" s="77" t="n"/>
      <c r="K21" s="77" t="n"/>
      <c r="L21" s="87" t="n"/>
      <c r="M21" s="90">
        <f>SUM(H21:L21)</f>
        <v/>
      </c>
      <c r="N21" s="76" t="n"/>
      <c r="O21" s="77" t="n"/>
      <c r="P21" s="77" t="n"/>
      <c r="Q21" s="77" t="n"/>
      <c r="R21" s="77" t="n"/>
      <c r="S21" s="87" t="n"/>
      <c r="T21" s="90">
        <f>SUM(O21:S21)</f>
        <v/>
      </c>
      <c r="U21" s="76" t="n"/>
      <c r="V21" s="77" t="n"/>
      <c r="W21" s="77" t="n"/>
      <c r="X21" s="77" t="n"/>
      <c r="Y21" s="77" t="n"/>
      <c r="Z21" s="99" t="n"/>
      <c r="AA21" s="90">
        <f>SUM(V21:Z21)</f>
        <v/>
      </c>
      <c r="AB21" s="100">
        <f>H21+O21+V21</f>
        <v/>
      </c>
      <c r="AC21" s="62">
        <f>I21+P21+W21</f>
        <v/>
      </c>
      <c r="AD21" s="62">
        <f>J21+Q21+X21</f>
        <v/>
      </c>
      <c r="AE21" s="62">
        <f>K21+R21+Y21</f>
        <v/>
      </c>
      <c r="AF21" s="62">
        <f>L21+S21+Z21</f>
        <v/>
      </c>
      <c r="AG21" s="15">
        <f>M21+T21+AA21</f>
        <v/>
      </c>
      <c r="AH21" s="62">
        <f>G21+N21+U21</f>
        <v/>
      </c>
      <c r="AI21" s="63">
        <f>AG21-AH21</f>
        <v/>
      </c>
      <c r="AJ21" s="68" t="n"/>
    </row>
    <row r="22">
      <c r="A22" s="24" t="n"/>
      <c r="B22" s="113" t="inlineStr">
        <is>
          <t>UTILITIES</t>
        </is>
      </c>
      <c r="C22" s="24">
        <f>SUM(C23:C31)</f>
        <v/>
      </c>
      <c r="D22" s="24">
        <f>SUM(D23:D31)</f>
        <v/>
      </c>
      <c r="E22" s="24">
        <f>SUM(E23:E31)</f>
        <v/>
      </c>
      <c r="F22" s="69" t="n"/>
      <c r="G22" s="78">
        <f>SUM(G23:G31)</f>
        <v/>
      </c>
      <c r="H22" s="79">
        <f>SUM(H23:H31)</f>
        <v/>
      </c>
      <c r="I22" s="79">
        <f>SUM(I23:I31)</f>
        <v/>
      </c>
      <c r="J22" s="79">
        <f>SUM(J23:J31)</f>
        <v/>
      </c>
      <c r="K22" s="79">
        <f>SUM(K23:K31)</f>
        <v/>
      </c>
      <c r="L22" s="69">
        <f>SUM(L23:L31)</f>
        <v/>
      </c>
      <c r="M22" s="91">
        <f>SUM(M23:M31)</f>
        <v/>
      </c>
      <c r="N22" s="78">
        <f>SUM(N23:N31)</f>
        <v/>
      </c>
      <c r="O22" s="79">
        <f>SUM(O23:O31)</f>
        <v/>
      </c>
      <c r="P22" s="79">
        <f>SUM(P23:P31)</f>
        <v/>
      </c>
      <c r="Q22" s="79">
        <f>SUM(Q23:Q31)</f>
        <v/>
      </c>
      <c r="R22" s="79">
        <f>SUM(R23:R31)</f>
        <v/>
      </c>
      <c r="S22" s="69">
        <f>SUM(S23:S31)</f>
        <v/>
      </c>
      <c r="T22" s="91">
        <f>SUM(T23:T31)</f>
        <v/>
      </c>
      <c r="U22" s="78">
        <f>SUM(U23:U31)</f>
        <v/>
      </c>
      <c r="V22" s="79">
        <f>SUM(V23:V31)</f>
        <v/>
      </c>
      <c r="W22" s="79">
        <f>SUM(W23:W31)</f>
        <v/>
      </c>
      <c r="X22" s="79">
        <f>SUM(X23:X31)</f>
        <v/>
      </c>
      <c r="Y22" s="79">
        <f>SUM(Y23:Y31)</f>
        <v/>
      </c>
      <c r="Z22" s="80">
        <f>SUM(Z23:Z31)</f>
        <v/>
      </c>
      <c r="AA22" s="91">
        <f>SUM(AA23:AA31)</f>
        <v/>
      </c>
      <c r="AB22" s="71">
        <f>SUM(AB23:AB31)</f>
        <v/>
      </c>
      <c r="AC22" s="24">
        <f>SUM(AC23:AC31)</f>
        <v/>
      </c>
      <c r="AD22" s="24">
        <f>SUM(AD23:AD31)</f>
        <v/>
      </c>
      <c r="AE22" s="24">
        <f>SUM(AE23:AE31)</f>
        <v/>
      </c>
      <c r="AF22" s="24">
        <f>SUM(AF23:AF31)</f>
        <v/>
      </c>
      <c r="AG22" s="24">
        <f>SUM(AG23:AG31)</f>
        <v/>
      </c>
      <c r="AH22" s="24">
        <f>SUM(AH23:AH31)</f>
        <v/>
      </c>
      <c r="AI22" s="24">
        <f>SUM(AI23:AI31)</f>
        <v/>
      </c>
      <c r="AJ22" s="24" t="n"/>
    </row>
    <row r="23">
      <c r="A23" s="35">
        <f>EXPENSES!L21</f>
        <v/>
      </c>
      <c r="B23" s="36">
        <f>EXPENSES!B21</f>
        <v/>
      </c>
      <c r="C23" s="37">
        <f>EXPENSES!E21</f>
        <v/>
      </c>
      <c r="D23" s="37">
        <f>EXPENSES!I21</f>
        <v/>
      </c>
      <c r="E23" s="37">
        <f>C23+D23</f>
        <v/>
      </c>
      <c r="F23" s="70" t="n"/>
      <c r="G23" s="76" t="n"/>
      <c r="H23" s="77" t="n"/>
      <c r="I23" s="77" t="n"/>
      <c r="J23" s="77" t="n"/>
      <c r="K23" s="77" t="n"/>
      <c r="L23" s="87" t="n"/>
      <c r="M23" s="90">
        <f>SUM(H23:L23)</f>
        <v/>
      </c>
      <c r="N23" s="76" t="n"/>
      <c r="O23" s="77" t="n"/>
      <c r="P23" s="77" t="n"/>
      <c r="Q23" s="77" t="n"/>
      <c r="R23" s="77" t="n"/>
      <c r="S23" s="87" t="n"/>
      <c r="T23" s="90">
        <f>SUM(O23:S23)</f>
        <v/>
      </c>
      <c r="U23" s="77" t="n"/>
      <c r="V23" s="77" t="n"/>
      <c r="W23" s="77" t="n"/>
      <c r="X23" s="77" t="n"/>
      <c r="Y23" s="77" t="n"/>
      <c r="Z23" s="99" t="n"/>
      <c r="AA23" s="90">
        <f>SUM(V23:Z23)</f>
        <v/>
      </c>
      <c r="AB23" s="100">
        <f>H23+O23+V23</f>
        <v/>
      </c>
      <c r="AC23" s="62">
        <f>I23+P23+W23</f>
        <v/>
      </c>
      <c r="AD23" s="62">
        <f>J23+Q23+X23</f>
        <v/>
      </c>
      <c r="AE23" s="62">
        <f>K23+R23+Y23</f>
        <v/>
      </c>
      <c r="AF23" s="62">
        <f>L23+S23+Z23</f>
        <v/>
      </c>
      <c r="AG23" s="15">
        <f>M23+T23+AA23</f>
        <v/>
      </c>
      <c r="AH23" s="62">
        <f>G23+N23+U23</f>
        <v/>
      </c>
      <c r="AI23" s="63">
        <f>AG23-AH23</f>
        <v/>
      </c>
      <c r="AJ23" s="68" t="n"/>
    </row>
    <row r="24">
      <c r="A24" s="35">
        <f>EXPENSES!L22</f>
        <v/>
      </c>
      <c r="B24" s="36">
        <f>EXPENSES!B22</f>
        <v/>
      </c>
      <c r="C24" s="37">
        <f>EXPENSES!E22</f>
        <v/>
      </c>
      <c r="D24" s="37">
        <f>EXPENSES!I22</f>
        <v/>
      </c>
      <c r="E24" s="37">
        <f>C24+D24</f>
        <v/>
      </c>
      <c r="F24" s="70" t="n"/>
      <c r="G24" s="76" t="n"/>
      <c r="H24" s="77" t="n"/>
      <c r="I24" s="77" t="n"/>
      <c r="J24" s="77" t="n"/>
      <c r="K24" s="77" t="n"/>
      <c r="L24" s="87" t="n"/>
      <c r="M24" s="90">
        <f>SUM(H24:L24)</f>
        <v/>
      </c>
      <c r="N24" s="76" t="n"/>
      <c r="O24" s="77" t="n"/>
      <c r="P24" s="77" t="n"/>
      <c r="Q24" s="77" t="n"/>
      <c r="R24" s="77" t="n"/>
      <c r="S24" s="87" t="n"/>
      <c r="T24" s="90">
        <f>SUM(O24:S24)</f>
        <v/>
      </c>
      <c r="U24" s="77" t="n"/>
      <c r="V24" s="77" t="n"/>
      <c r="W24" s="77" t="n"/>
      <c r="X24" s="77" t="n"/>
      <c r="Y24" s="77" t="n"/>
      <c r="Z24" s="99" t="n"/>
      <c r="AA24" s="90">
        <f>SUM(V24:Z24)</f>
        <v/>
      </c>
      <c r="AB24" s="100">
        <f>H24+O24+V24</f>
        <v/>
      </c>
      <c r="AC24" s="62">
        <f>I24+P24+W24</f>
        <v/>
      </c>
      <c r="AD24" s="62">
        <f>J24+Q24+X24</f>
        <v/>
      </c>
      <c r="AE24" s="62">
        <f>K24+R24+Y24</f>
        <v/>
      </c>
      <c r="AF24" s="62">
        <f>L24+S24+Z24</f>
        <v/>
      </c>
      <c r="AG24" s="15">
        <f>M24+T24+AA24</f>
        <v/>
      </c>
      <c r="AH24" s="62">
        <f>G24+N24+U24</f>
        <v/>
      </c>
      <c r="AI24" s="63">
        <f>AG24-AH24</f>
        <v/>
      </c>
      <c r="AJ24" s="68" t="n"/>
    </row>
    <row r="25">
      <c r="A25" s="35">
        <f>EXPENSES!L23</f>
        <v/>
      </c>
      <c r="B25" s="36">
        <f>EXPENSES!B23</f>
        <v/>
      </c>
      <c r="C25" s="37">
        <f>EXPENSES!E23</f>
        <v/>
      </c>
      <c r="D25" s="37">
        <f>EXPENSES!I23</f>
        <v/>
      </c>
      <c r="E25" s="37">
        <f>C25+D25</f>
        <v/>
      </c>
      <c r="F25" s="70" t="n"/>
      <c r="G25" s="76" t="n"/>
      <c r="H25" s="77" t="n"/>
      <c r="I25" s="77" t="n"/>
      <c r="J25" s="77" t="n"/>
      <c r="K25" s="77" t="n"/>
      <c r="L25" s="87" t="n"/>
      <c r="M25" s="90">
        <f>SUM(H25:L25)</f>
        <v/>
      </c>
      <c r="N25" s="76" t="n"/>
      <c r="O25" s="77" t="n"/>
      <c r="P25" s="77" t="n"/>
      <c r="Q25" s="77" t="n"/>
      <c r="R25" s="77" t="n"/>
      <c r="S25" s="87" t="n"/>
      <c r="T25" s="90">
        <f>SUM(O25:S25)</f>
        <v/>
      </c>
      <c r="U25" s="77" t="n"/>
      <c r="V25" s="77" t="n"/>
      <c r="W25" s="77" t="n"/>
      <c r="X25" s="77" t="n"/>
      <c r="Y25" s="77" t="n"/>
      <c r="Z25" s="99" t="n"/>
      <c r="AA25" s="90">
        <f>SUM(V25:Z25)</f>
        <v/>
      </c>
      <c r="AB25" s="100">
        <f>H25+O25+V25</f>
        <v/>
      </c>
      <c r="AC25" s="62">
        <f>I25+P25+W25</f>
        <v/>
      </c>
      <c r="AD25" s="62">
        <f>J25+Q25+X25</f>
        <v/>
      </c>
      <c r="AE25" s="62">
        <f>K25+R25+Y25</f>
        <v/>
      </c>
      <c r="AF25" s="62">
        <f>L25+S25+Z25</f>
        <v/>
      </c>
      <c r="AG25" s="15">
        <f>M25+T25+AA25</f>
        <v/>
      </c>
      <c r="AH25" s="62">
        <f>G25+N25+U25</f>
        <v/>
      </c>
      <c r="AI25" s="63">
        <f>AG25-AH25</f>
        <v/>
      </c>
      <c r="AJ25" s="68" t="n"/>
    </row>
    <row r="26">
      <c r="A26" s="35">
        <f>EXPENSES!L24</f>
        <v/>
      </c>
      <c r="B26" s="36">
        <f>EXPENSES!B24</f>
        <v/>
      </c>
      <c r="C26" s="37">
        <f>EXPENSES!E24</f>
        <v/>
      </c>
      <c r="D26" s="37">
        <f>EXPENSES!I24</f>
        <v/>
      </c>
      <c r="E26" s="37">
        <f>C26+D26</f>
        <v/>
      </c>
      <c r="F26" s="70" t="n"/>
      <c r="G26" s="76" t="n"/>
      <c r="H26" s="77" t="n"/>
      <c r="I26" s="77" t="n"/>
      <c r="J26" s="77" t="n"/>
      <c r="K26" s="77" t="n"/>
      <c r="L26" s="87" t="n"/>
      <c r="M26" s="90">
        <f>SUM(H26:L26)</f>
        <v/>
      </c>
      <c r="N26" s="76" t="n"/>
      <c r="O26" s="77" t="n"/>
      <c r="P26" s="77" t="n"/>
      <c r="Q26" s="77" t="n"/>
      <c r="R26" s="77" t="n"/>
      <c r="S26" s="87" t="n"/>
      <c r="T26" s="90">
        <f>SUM(O26:S26)</f>
        <v/>
      </c>
      <c r="U26" s="77" t="n"/>
      <c r="V26" s="77" t="n"/>
      <c r="W26" s="77" t="n"/>
      <c r="X26" s="77" t="n"/>
      <c r="Y26" s="77" t="n"/>
      <c r="Z26" s="99" t="n"/>
      <c r="AA26" s="90">
        <f>SUM(V26:Z26)</f>
        <v/>
      </c>
      <c r="AB26" s="100">
        <f>H26+O26+V26</f>
        <v/>
      </c>
      <c r="AC26" s="62">
        <f>I26+P26+W26</f>
        <v/>
      </c>
      <c r="AD26" s="62">
        <f>J26+Q26+X26</f>
        <v/>
      </c>
      <c r="AE26" s="62">
        <f>K26+R26+Y26</f>
        <v/>
      </c>
      <c r="AF26" s="62">
        <f>L26+S26+Z26</f>
        <v/>
      </c>
      <c r="AG26" s="15">
        <f>M26+T26+AA26</f>
        <v/>
      </c>
      <c r="AH26" s="62">
        <f>G26+N26+U26</f>
        <v/>
      </c>
      <c r="AI26" s="63">
        <f>AG26-AH26</f>
        <v/>
      </c>
      <c r="AJ26" s="68" t="n"/>
    </row>
    <row r="27">
      <c r="A27" s="35">
        <f>EXPENSES!L25</f>
        <v/>
      </c>
      <c r="B27" s="36">
        <f>EXPENSES!B25</f>
        <v/>
      </c>
      <c r="C27" s="37">
        <f>EXPENSES!E25</f>
        <v/>
      </c>
      <c r="D27" s="37">
        <f>EXPENSES!I25</f>
        <v/>
      </c>
      <c r="E27" s="37">
        <f>C27+D27</f>
        <v/>
      </c>
      <c r="F27" s="70" t="n"/>
      <c r="G27" s="76" t="n"/>
      <c r="H27" s="77" t="n"/>
      <c r="I27" s="77" t="n"/>
      <c r="J27" s="77" t="n"/>
      <c r="K27" s="77" t="n"/>
      <c r="L27" s="87" t="n"/>
      <c r="M27" s="90">
        <f>SUM(H27:L27)</f>
        <v/>
      </c>
      <c r="N27" s="76" t="n"/>
      <c r="O27" s="77" t="n"/>
      <c r="P27" s="77" t="n"/>
      <c r="Q27" s="77" t="n"/>
      <c r="R27" s="77" t="n"/>
      <c r="S27" s="87" t="n"/>
      <c r="T27" s="90">
        <f>SUM(O27:S27)</f>
        <v/>
      </c>
      <c r="U27" s="77" t="n"/>
      <c r="V27" s="77" t="n"/>
      <c r="W27" s="77" t="n"/>
      <c r="X27" s="77" t="n"/>
      <c r="Y27" s="77" t="n"/>
      <c r="Z27" s="99" t="n"/>
      <c r="AA27" s="90">
        <f>SUM(V27:Z27)</f>
        <v/>
      </c>
      <c r="AB27" s="100">
        <f>H27+O27+V27</f>
        <v/>
      </c>
      <c r="AC27" s="62">
        <f>I27+P27+W27</f>
        <v/>
      </c>
      <c r="AD27" s="62">
        <f>J27+Q27+X27</f>
        <v/>
      </c>
      <c r="AE27" s="62">
        <f>K27+R27+Y27</f>
        <v/>
      </c>
      <c r="AF27" s="62">
        <f>L27+S27+Z27</f>
        <v/>
      </c>
      <c r="AG27" s="15">
        <f>M27+T27+AA27</f>
        <v/>
      </c>
      <c r="AH27" s="62">
        <f>G27+N27+U27</f>
        <v/>
      </c>
      <c r="AI27" s="63">
        <f>AG27-AH27</f>
        <v/>
      </c>
      <c r="AJ27" s="68" t="n"/>
    </row>
    <row r="28">
      <c r="A28" s="35">
        <f>EXPENSES!L26</f>
        <v/>
      </c>
      <c r="B28" s="36">
        <f>EXPENSES!B26</f>
        <v/>
      </c>
      <c r="C28" s="37">
        <f>EXPENSES!E26</f>
        <v/>
      </c>
      <c r="D28" s="37">
        <f>EXPENSES!I26</f>
        <v/>
      </c>
      <c r="E28" s="37">
        <f>C28+D28</f>
        <v/>
      </c>
      <c r="F28" s="70" t="n"/>
      <c r="G28" s="76" t="n"/>
      <c r="H28" s="77" t="n"/>
      <c r="I28" s="77" t="n"/>
      <c r="J28" s="77" t="n"/>
      <c r="K28" s="77" t="n"/>
      <c r="L28" s="87" t="n"/>
      <c r="M28" s="90">
        <f>SUM(H28:L28)</f>
        <v/>
      </c>
      <c r="N28" s="76" t="n"/>
      <c r="O28" s="77" t="n"/>
      <c r="P28" s="77" t="n"/>
      <c r="Q28" s="77" t="n"/>
      <c r="R28" s="77" t="n"/>
      <c r="S28" s="87" t="n"/>
      <c r="T28" s="90">
        <f>SUM(O28:S28)</f>
        <v/>
      </c>
      <c r="U28" s="77" t="n"/>
      <c r="V28" s="77" t="n"/>
      <c r="W28" s="77" t="n"/>
      <c r="X28" s="77" t="n"/>
      <c r="Y28" s="77" t="n"/>
      <c r="Z28" s="99" t="n"/>
      <c r="AA28" s="90">
        <f>SUM(V28:Z28)</f>
        <v/>
      </c>
      <c r="AB28" s="100">
        <f>H28+O28+V28</f>
        <v/>
      </c>
      <c r="AC28" s="62">
        <f>I28+P28+W28</f>
        <v/>
      </c>
      <c r="AD28" s="62">
        <f>J28+Q28+X28</f>
        <v/>
      </c>
      <c r="AE28" s="62">
        <f>K28+R28+Y28</f>
        <v/>
      </c>
      <c r="AF28" s="62">
        <f>L28+S28+Z28</f>
        <v/>
      </c>
      <c r="AG28" s="15">
        <f>M28+T28+AA28</f>
        <v/>
      </c>
      <c r="AH28" s="62">
        <f>G28+N28+U28</f>
        <v/>
      </c>
      <c r="AI28" s="63">
        <f>AG28-AH28</f>
        <v/>
      </c>
      <c r="AJ28" s="68" t="n"/>
    </row>
    <row r="29">
      <c r="A29" s="35">
        <f>EXPENSES!L27</f>
        <v/>
      </c>
      <c r="B29" s="36">
        <f>EXPENSES!B27</f>
        <v/>
      </c>
      <c r="C29" s="37">
        <f>EXPENSES!E27</f>
        <v/>
      </c>
      <c r="D29" s="37">
        <f>EXPENSES!I27</f>
        <v/>
      </c>
      <c r="E29" s="37">
        <f>C29+D29</f>
        <v/>
      </c>
      <c r="F29" s="70" t="n"/>
      <c r="G29" s="76" t="n"/>
      <c r="H29" s="77" t="n"/>
      <c r="I29" s="77" t="n"/>
      <c r="J29" s="77" t="n"/>
      <c r="K29" s="77" t="n"/>
      <c r="L29" s="87" t="n"/>
      <c r="M29" s="90">
        <f>SUM(H29:L29)</f>
        <v/>
      </c>
      <c r="N29" s="76" t="n"/>
      <c r="O29" s="77" t="n"/>
      <c r="P29" s="77" t="n"/>
      <c r="Q29" s="77" t="n"/>
      <c r="R29" s="77" t="n"/>
      <c r="S29" s="87" t="n"/>
      <c r="T29" s="90">
        <f>SUM(O29:S29)</f>
        <v/>
      </c>
      <c r="U29" s="76" t="n"/>
      <c r="V29" s="77" t="n"/>
      <c r="W29" s="77" t="n"/>
      <c r="X29" s="77" t="n"/>
      <c r="Y29" s="77" t="n"/>
      <c r="Z29" s="99" t="n"/>
      <c r="AA29" s="90">
        <f>SUM(V29:Z29)</f>
        <v/>
      </c>
      <c r="AB29" s="100">
        <f>H29+O29+V29</f>
        <v/>
      </c>
      <c r="AC29" s="62">
        <f>I29+P29+W29</f>
        <v/>
      </c>
      <c r="AD29" s="62">
        <f>J29+Q29+X29</f>
        <v/>
      </c>
      <c r="AE29" s="62">
        <f>K29+R29+Y29</f>
        <v/>
      </c>
      <c r="AF29" s="62">
        <f>L29+S29+Z29</f>
        <v/>
      </c>
      <c r="AG29" s="15">
        <f>M29+T29+AA29</f>
        <v/>
      </c>
      <c r="AH29" s="62">
        <f>G29+N29+U29</f>
        <v/>
      </c>
      <c r="AI29" s="63">
        <f>AG29-AH29</f>
        <v/>
      </c>
      <c r="AJ29" s="68" t="n"/>
    </row>
    <row r="30">
      <c r="A30" s="35">
        <f>EXPENSES!L28</f>
        <v/>
      </c>
      <c r="B30" s="36">
        <f>EXPENSES!B28</f>
        <v/>
      </c>
      <c r="C30" s="37">
        <f>EXPENSES!E28</f>
        <v/>
      </c>
      <c r="D30" s="37">
        <f>EXPENSES!I28</f>
        <v/>
      </c>
      <c r="E30" s="37">
        <f>C30+D30</f>
        <v/>
      </c>
      <c r="F30" s="70" t="n"/>
      <c r="G30" s="76" t="n"/>
      <c r="H30" s="77" t="n"/>
      <c r="I30" s="77" t="n"/>
      <c r="J30" s="77" t="n"/>
      <c r="K30" s="77" t="n"/>
      <c r="L30" s="87" t="n"/>
      <c r="M30" s="90">
        <f>SUM(H30:L30)</f>
        <v/>
      </c>
      <c r="N30" s="76" t="n"/>
      <c r="O30" s="77" t="n"/>
      <c r="P30" s="77" t="n"/>
      <c r="Q30" s="77" t="n"/>
      <c r="R30" s="77" t="n"/>
      <c r="S30" s="87" t="n"/>
      <c r="T30" s="90">
        <f>SUM(O30:S30)</f>
        <v/>
      </c>
      <c r="U30" s="76" t="n"/>
      <c r="V30" s="77" t="n"/>
      <c r="W30" s="77" t="n"/>
      <c r="X30" s="77" t="n"/>
      <c r="Y30" s="77" t="n"/>
      <c r="Z30" s="99" t="n"/>
      <c r="AA30" s="90">
        <f>SUM(V30:Z30)</f>
        <v/>
      </c>
      <c r="AB30" s="100">
        <f>H30+O30+V30</f>
        <v/>
      </c>
      <c r="AC30" s="62">
        <f>I30+P30+W30</f>
        <v/>
      </c>
      <c r="AD30" s="62">
        <f>J30+Q30+X30</f>
        <v/>
      </c>
      <c r="AE30" s="62">
        <f>K30+R30+Y30</f>
        <v/>
      </c>
      <c r="AF30" s="62">
        <f>L30+S30+Z30</f>
        <v/>
      </c>
      <c r="AG30" s="15">
        <f>M30+T30+AA30</f>
        <v/>
      </c>
      <c r="AH30" s="62">
        <f>G30+N30+U30</f>
        <v/>
      </c>
      <c r="AI30" s="63">
        <f>AG30-AH30</f>
        <v/>
      </c>
      <c r="AJ30" s="68" t="n"/>
    </row>
    <row r="31">
      <c r="A31" s="35">
        <f>EXPENSES!L29</f>
        <v/>
      </c>
      <c r="B31" s="36">
        <f>EXPENSES!B29</f>
        <v/>
      </c>
      <c r="C31" s="37">
        <f>EXPENSES!E29</f>
        <v/>
      </c>
      <c r="D31" s="37">
        <f>EXPENSES!I29</f>
        <v/>
      </c>
      <c r="E31" s="37">
        <f>C31+D31</f>
        <v/>
      </c>
      <c r="F31" s="70" t="n"/>
      <c r="G31" s="76" t="n"/>
      <c r="H31" s="77" t="n"/>
      <c r="I31" s="77" t="n"/>
      <c r="J31" s="77" t="n"/>
      <c r="K31" s="77" t="n"/>
      <c r="L31" s="87" t="n"/>
      <c r="M31" s="90">
        <f>SUM(H31:L31)</f>
        <v/>
      </c>
      <c r="N31" s="76" t="n"/>
      <c r="O31" s="77" t="n"/>
      <c r="P31" s="77" t="n"/>
      <c r="Q31" s="77" t="n"/>
      <c r="R31" s="77" t="n"/>
      <c r="S31" s="87" t="n"/>
      <c r="T31" s="90">
        <f>SUM(O31:S31)</f>
        <v/>
      </c>
      <c r="U31" s="76" t="n"/>
      <c r="V31" s="77" t="n"/>
      <c r="W31" s="77" t="n"/>
      <c r="X31" s="77" t="n"/>
      <c r="Y31" s="77" t="n"/>
      <c r="Z31" s="99" t="n"/>
      <c r="AA31" s="90">
        <f>SUM(V31:Z31)</f>
        <v/>
      </c>
      <c r="AB31" s="100">
        <f>H31+O31+V31</f>
        <v/>
      </c>
      <c r="AC31" s="62">
        <f>I31+P31+W31</f>
        <v/>
      </c>
      <c r="AD31" s="62">
        <f>J31+Q31+X31</f>
        <v/>
      </c>
      <c r="AE31" s="62">
        <f>K31+R31+Y31</f>
        <v/>
      </c>
      <c r="AF31" s="62">
        <f>L31+S31+Z31</f>
        <v/>
      </c>
      <c r="AG31" s="15">
        <f>M31+T31+AA31</f>
        <v/>
      </c>
      <c r="AH31" s="62">
        <f>G31+N31+U31</f>
        <v/>
      </c>
      <c r="AI31" s="63">
        <f>AG31-AH31</f>
        <v/>
      </c>
      <c r="AJ31" s="68" t="n"/>
    </row>
    <row r="32">
      <c r="A32" s="24" t="n"/>
      <c r="B32" s="113" t="inlineStr">
        <is>
          <t>FOOD</t>
        </is>
      </c>
      <c r="C32" s="24">
        <f>SUM(C33:C38)</f>
        <v/>
      </c>
      <c r="D32" s="24">
        <f>SUM(D33:D38)</f>
        <v/>
      </c>
      <c r="E32" s="24">
        <f>SUM(E33:E38)</f>
        <v/>
      </c>
      <c r="F32" s="69" t="n"/>
      <c r="G32" s="78">
        <f>SUM(G33:G38)</f>
        <v/>
      </c>
      <c r="H32" s="79">
        <f>SUM(H33:H38)</f>
        <v/>
      </c>
      <c r="I32" s="79">
        <f>SUM(I33:I38)</f>
        <v/>
      </c>
      <c r="J32" s="79">
        <f>SUM(J33:J38)</f>
        <v/>
      </c>
      <c r="K32" s="79">
        <f>SUM(K33:K38)</f>
        <v/>
      </c>
      <c r="L32" s="69">
        <f>SUM(L33:L38)</f>
        <v/>
      </c>
      <c r="M32" s="91">
        <f>SUM(M33:M38)</f>
        <v/>
      </c>
      <c r="N32" s="78">
        <f>SUM(N33:N38)</f>
        <v/>
      </c>
      <c r="O32" s="79">
        <f>SUM(O33:O38)</f>
        <v/>
      </c>
      <c r="P32" s="79">
        <f>SUM(P33:P38)</f>
        <v/>
      </c>
      <c r="Q32" s="79">
        <f>SUM(Q33:Q38)</f>
        <v/>
      </c>
      <c r="R32" s="79">
        <f>SUM(R33:R38)</f>
        <v/>
      </c>
      <c r="S32" s="69">
        <f>SUM(S33:S38)</f>
        <v/>
      </c>
      <c r="T32" s="91">
        <f>SUM(T33:T38)</f>
        <v/>
      </c>
      <c r="U32" s="78">
        <f>SUM(U33:U38)</f>
        <v/>
      </c>
      <c r="V32" s="79">
        <f>SUM(V33:V38)</f>
        <v/>
      </c>
      <c r="W32" s="79">
        <f>SUM(W33:W38)</f>
        <v/>
      </c>
      <c r="X32" s="79">
        <f>SUM(X33:X38)</f>
        <v/>
      </c>
      <c r="Y32" s="79">
        <f>SUM(Y33:Y38)</f>
        <v/>
      </c>
      <c r="Z32" s="80">
        <f>SUM(Z33:Z38)</f>
        <v/>
      </c>
      <c r="AA32" s="91">
        <f>SUM(AA33:AA38)</f>
        <v/>
      </c>
      <c r="AB32" s="71">
        <f>SUM(AB33:AB38)</f>
        <v/>
      </c>
      <c r="AC32" s="24">
        <f>SUM(AC33:AC38)</f>
        <v/>
      </c>
      <c r="AD32" s="24">
        <f>SUM(AD33:AD38)</f>
        <v/>
      </c>
      <c r="AE32" s="24">
        <f>SUM(AE33:AE38)</f>
        <v/>
      </c>
      <c r="AF32" s="24">
        <f>SUM(AF33:AF38)</f>
        <v/>
      </c>
      <c r="AG32" s="24">
        <f>SUM(AG33:AG38)</f>
        <v/>
      </c>
      <c r="AH32" s="24">
        <f>SUM(AH33:AH38)</f>
        <v/>
      </c>
      <c r="AI32" s="24">
        <f>SUM(AI33:AI38)</f>
        <v/>
      </c>
      <c r="AJ32" s="24" t="n"/>
    </row>
    <row r="33">
      <c r="A33" s="35">
        <f>EXPENSES!L31</f>
        <v/>
      </c>
      <c r="B33" s="36">
        <f>EXPENSES!B31</f>
        <v/>
      </c>
      <c r="C33" s="37">
        <f>EXPENSES!E31</f>
        <v/>
      </c>
      <c r="D33" s="37">
        <f>EXPENSES!I31</f>
        <v/>
      </c>
      <c r="E33" s="37">
        <f>C33+D33</f>
        <v/>
      </c>
      <c r="F33" s="70" t="n"/>
      <c r="G33" s="76" t="n"/>
      <c r="H33" s="77" t="n"/>
      <c r="I33" s="77" t="n"/>
      <c r="J33" s="77" t="n"/>
      <c r="K33" s="77" t="n"/>
      <c r="L33" s="87" t="n"/>
      <c r="M33" s="90">
        <f>SUM(H33:L33)</f>
        <v/>
      </c>
      <c r="N33" s="76" t="n"/>
      <c r="O33" s="77" t="n"/>
      <c r="P33" s="77" t="n"/>
      <c r="Q33" s="77" t="n"/>
      <c r="R33" s="77" t="n"/>
      <c r="S33" s="87" t="n"/>
      <c r="T33" s="90">
        <f>SUM(O33:S33)</f>
        <v/>
      </c>
      <c r="U33" s="76" t="n"/>
      <c r="V33" s="77" t="n"/>
      <c r="W33" s="77" t="n"/>
      <c r="X33" s="77" t="n"/>
      <c r="Y33" s="77" t="n"/>
      <c r="Z33" s="99" t="n"/>
      <c r="AA33" s="90">
        <f>SUM(V33:Z33)</f>
        <v/>
      </c>
      <c r="AB33" s="100">
        <f>H33+O33+V33</f>
        <v/>
      </c>
      <c r="AC33" s="62">
        <f>I33+P33+W33</f>
        <v/>
      </c>
      <c r="AD33" s="62">
        <f>J33+Q33+X33</f>
        <v/>
      </c>
      <c r="AE33" s="62">
        <f>K33+R33+Y33</f>
        <v/>
      </c>
      <c r="AF33" s="62">
        <f>L33+S33+Z33</f>
        <v/>
      </c>
      <c r="AG33" s="15">
        <f>M33+T33+AA33</f>
        <v/>
      </c>
      <c r="AH33" s="62">
        <f>G33+N33+U33</f>
        <v/>
      </c>
      <c r="AI33" s="63">
        <f>AG33-AH33</f>
        <v/>
      </c>
      <c r="AJ33" s="68" t="n"/>
    </row>
    <row r="34">
      <c r="A34" s="35">
        <f>EXPENSES!L32</f>
        <v/>
      </c>
      <c r="B34" s="36">
        <f>EXPENSES!B32</f>
        <v/>
      </c>
      <c r="C34" s="37">
        <f>EXPENSES!E32</f>
        <v/>
      </c>
      <c r="D34" s="37">
        <f>EXPENSES!I32</f>
        <v/>
      </c>
      <c r="E34" s="37">
        <f>C34+D34</f>
        <v/>
      </c>
      <c r="F34" s="70" t="n"/>
      <c r="G34" s="76" t="n"/>
      <c r="H34" s="77" t="n"/>
      <c r="I34" s="77" t="n"/>
      <c r="J34" s="77" t="n"/>
      <c r="K34" s="77" t="n"/>
      <c r="L34" s="87" t="n"/>
      <c r="M34" s="90">
        <f>SUM(H34:L34)</f>
        <v/>
      </c>
      <c r="N34" s="76" t="n"/>
      <c r="O34" s="77" t="n"/>
      <c r="P34" s="77" t="n"/>
      <c r="Q34" s="77" t="n"/>
      <c r="R34" s="77" t="n"/>
      <c r="S34" s="87" t="n"/>
      <c r="T34" s="90">
        <f>SUM(O34:S34)</f>
        <v/>
      </c>
      <c r="U34" s="76" t="n"/>
      <c r="V34" s="77" t="n"/>
      <c r="W34" s="77" t="n"/>
      <c r="X34" s="77" t="n"/>
      <c r="Y34" s="77" t="n"/>
      <c r="Z34" s="99" t="n"/>
      <c r="AA34" s="90">
        <f>SUM(V34:Z34)</f>
        <v/>
      </c>
      <c r="AB34" s="100">
        <f>H34+O34+V34</f>
        <v/>
      </c>
      <c r="AC34" s="62">
        <f>I34+P34+W34</f>
        <v/>
      </c>
      <c r="AD34" s="62">
        <f>J34+Q34+X34</f>
        <v/>
      </c>
      <c r="AE34" s="62">
        <f>K34+R34+Y34</f>
        <v/>
      </c>
      <c r="AF34" s="62">
        <f>L34+S34+Z34</f>
        <v/>
      </c>
      <c r="AG34" s="15">
        <f>M34+T34+AA34</f>
        <v/>
      </c>
      <c r="AH34" s="62">
        <f>G34+N34+U34</f>
        <v/>
      </c>
      <c r="AI34" s="63">
        <f>AG34-AH34</f>
        <v/>
      </c>
      <c r="AJ34" s="68" t="n"/>
    </row>
    <row r="35">
      <c r="A35" s="35">
        <f>EXPENSES!L33</f>
        <v/>
      </c>
      <c r="B35" s="36">
        <f>EXPENSES!B33</f>
        <v/>
      </c>
      <c r="C35" s="37">
        <f>EXPENSES!E33</f>
        <v/>
      </c>
      <c r="D35" s="37">
        <f>EXPENSES!I33</f>
        <v/>
      </c>
      <c r="E35" s="37">
        <f>C35+D35</f>
        <v/>
      </c>
      <c r="F35" s="70" t="n"/>
      <c r="G35" s="76" t="n"/>
      <c r="H35" s="77" t="n"/>
      <c r="I35" s="77" t="n"/>
      <c r="J35" s="77" t="n"/>
      <c r="K35" s="77" t="n"/>
      <c r="L35" s="87" t="n"/>
      <c r="M35" s="90">
        <f>SUM(H35:L35)</f>
        <v/>
      </c>
      <c r="N35" s="76" t="n"/>
      <c r="O35" s="77" t="n"/>
      <c r="P35" s="77" t="n"/>
      <c r="Q35" s="77" t="n"/>
      <c r="R35" s="77" t="n"/>
      <c r="S35" s="87" t="n"/>
      <c r="T35" s="90">
        <f>SUM(O35:S35)</f>
        <v/>
      </c>
      <c r="U35" s="76" t="n"/>
      <c r="V35" s="77" t="n"/>
      <c r="W35" s="77" t="n"/>
      <c r="X35" s="77" t="n"/>
      <c r="Y35" s="77" t="n"/>
      <c r="Z35" s="99" t="n"/>
      <c r="AA35" s="90">
        <f>SUM(V35:Z35)</f>
        <v/>
      </c>
      <c r="AB35" s="100">
        <f>H35+O35+V35</f>
        <v/>
      </c>
      <c r="AC35" s="62">
        <f>I35+P35+W35</f>
        <v/>
      </c>
      <c r="AD35" s="62">
        <f>J35+Q35+X35</f>
        <v/>
      </c>
      <c r="AE35" s="62">
        <f>K35+R35+Y35</f>
        <v/>
      </c>
      <c r="AF35" s="62">
        <f>L35+S35+Z35</f>
        <v/>
      </c>
      <c r="AG35" s="15">
        <f>M35+T35+AA35</f>
        <v/>
      </c>
      <c r="AH35" s="62">
        <f>G35+N35+U35</f>
        <v/>
      </c>
      <c r="AI35" s="63">
        <f>AG35-AH35</f>
        <v/>
      </c>
      <c r="AJ35" s="68" t="n"/>
    </row>
    <row r="36">
      <c r="A36" s="35">
        <f>EXPENSES!L34</f>
        <v/>
      </c>
      <c r="B36" s="36">
        <f>EXPENSES!B34</f>
        <v/>
      </c>
      <c r="C36" s="37">
        <f>EXPENSES!E34</f>
        <v/>
      </c>
      <c r="D36" s="37">
        <f>EXPENSES!I34</f>
        <v/>
      </c>
      <c r="E36" s="37">
        <f>C36+D36</f>
        <v/>
      </c>
      <c r="F36" s="70" t="n"/>
      <c r="G36" s="76" t="n"/>
      <c r="H36" s="77" t="n"/>
      <c r="I36" s="77" t="n"/>
      <c r="J36" s="77" t="n"/>
      <c r="K36" s="77" t="n"/>
      <c r="L36" s="87" t="n"/>
      <c r="M36" s="90">
        <f>SUM(H36:L36)</f>
        <v/>
      </c>
      <c r="N36" s="76" t="n"/>
      <c r="O36" s="77" t="n"/>
      <c r="P36" s="77" t="n"/>
      <c r="Q36" s="77" t="n"/>
      <c r="R36" s="77" t="n"/>
      <c r="S36" s="87" t="n"/>
      <c r="T36" s="90">
        <f>SUM(O36:S36)</f>
        <v/>
      </c>
      <c r="U36" s="76" t="n"/>
      <c r="V36" s="77" t="n"/>
      <c r="W36" s="77" t="n"/>
      <c r="X36" s="77" t="n"/>
      <c r="Y36" s="77" t="n"/>
      <c r="Z36" s="99" t="n"/>
      <c r="AA36" s="90">
        <f>SUM(V36:Z36)</f>
        <v/>
      </c>
      <c r="AB36" s="100">
        <f>H36+O36+V36</f>
        <v/>
      </c>
      <c r="AC36" s="62">
        <f>I36+P36+W36</f>
        <v/>
      </c>
      <c r="AD36" s="62">
        <f>J36+Q36+X36</f>
        <v/>
      </c>
      <c r="AE36" s="62">
        <f>K36+R36+Y36</f>
        <v/>
      </c>
      <c r="AF36" s="62">
        <f>L36+S36+Z36</f>
        <v/>
      </c>
      <c r="AG36" s="15">
        <f>M36+T36+AA36</f>
        <v/>
      </c>
      <c r="AH36" s="62">
        <f>G36+N36+U36</f>
        <v/>
      </c>
      <c r="AI36" s="63">
        <f>AG36-AH36</f>
        <v/>
      </c>
      <c r="AJ36" s="68" t="n"/>
    </row>
    <row r="37">
      <c r="A37" s="35">
        <f>EXPENSES!L35</f>
        <v/>
      </c>
      <c r="B37" s="36">
        <f>EXPENSES!B35</f>
        <v/>
      </c>
      <c r="C37" s="37">
        <f>EXPENSES!E35</f>
        <v/>
      </c>
      <c r="D37" s="37">
        <f>EXPENSES!I35</f>
        <v/>
      </c>
      <c r="E37" s="37">
        <f>C37+D37</f>
        <v/>
      </c>
      <c r="F37" s="70" t="n"/>
      <c r="G37" s="76" t="n"/>
      <c r="H37" s="77" t="n"/>
      <c r="I37" s="77" t="n"/>
      <c r="J37" s="77" t="n"/>
      <c r="K37" s="77" t="n"/>
      <c r="L37" s="87" t="n"/>
      <c r="M37" s="90">
        <f>SUM(H37:L37)</f>
        <v/>
      </c>
      <c r="N37" s="76" t="n"/>
      <c r="O37" s="77" t="n"/>
      <c r="P37" s="77" t="n"/>
      <c r="Q37" s="77" t="n"/>
      <c r="R37" s="77" t="n"/>
      <c r="S37" s="87" t="n"/>
      <c r="T37" s="90">
        <f>SUM(O37:S37)</f>
        <v/>
      </c>
      <c r="U37" s="76" t="n"/>
      <c r="V37" s="77" t="n"/>
      <c r="W37" s="77" t="n"/>
      <c r="X37" s="77" t="n"/>
      <c r="Y37" s="77" t="n"/>
      <c r="Z37" s="99" t="n"/>
      <c r="AA37" s="90">
        <f>SUM(V37:Z37)</f>
        <v/>
      </c>
      <c r="AB37" s="100">
        <f>H37+O37+V37</f>
        <v/>
      </c>
      <c r="AC37" s="62">
        <f>I37+P37+W37</f>
        <v/>
      </c>
      <c r="AD37" s="62">
        <f>J37+Q37+X37</f>
        <v/>
      </c>
      <c r="AE37" s="62">
        <f>K37+R37+Y37</f>
        <v/>
      </c>
      <c r="AF37" s="62">
        <f>L37+S37+Z37</f>
        <v/>
      </c>
      <c r="AG37" s="15">
        <f>M37+T37+AA37</f>
        <v/>
      </c>
      <c r="AH37" s="62">
        <f>G37+N37+U37</f>
        <v/>
      </c>
      <c r="AI37" s="63">
        <f>AG37-AH37</f>
        <v/>
      </c>
      <c r="AJ37" s="68" t="n"/>
    </row>
    <row r="38">
      <c r="A38" s="35">
        <f>EXPENSES!L36</f>
        <v/>
      </c>
      <c r="B38" s="36">
        <f>EXPENSES!B36</f>
        <v/>
      </c>
      <c r="C38" s="37">
        <f>EXPENSES!E36</f>
        <v/>
      </c>
      <c r="D38" s="37">
        <f>EXPENSES!I36</f>
        <v/>
      </c>
      <c r="E38" s="37">
        <f>C38+D38</f>
        <v/>
      </c>
      <c r="F38" s="70" t="n"/>
      <c r="G38" s="76" t="n"/>
      <c r="H38" s="77" t="n"/>
      <c r="I38" s="77" t="n"/>
      <c r="J38" s="77" t="n"/>
      <c r="K38" s="77" t="n"/>
      <c r="L38" s="87" t="n"/>
      <c r="M38" s="90">
        <f>SUM(H38:L38)</f>
        <v/>
      </c>
      <c r="N38" s="76" t="n"/>
      <c r="O38" s="77" t="n"/>
      <c r="P38" s="77" t="n"/>
      <c r="Q38" s="77" t="n"/>
      <c r="R38" s="77" t="n"/>
      <c r="S38" s="87" t="n"/>
      <c r="T38" s="90">
        <f>SUM(O38:S38)</f>
        <v/>
      </c>
      <c r="U38" s="76" t="n"/>
      <c r="V38" s="77" t="n"/>
      <c r="W38" s="77" t="n"/>
      <c r="X38" s="77" t="n"/>
      <c r="Y38" s="77" t="n"/>
      <c r="Z38" s="99" t="n"/>
      <c r="AA38" s="90">
        <f>SUM(V38:Z38)</f>
        <v/>
      </c>
      <c r="AB38" s="100">
        <f>H38+O38+V38</f>
        <v/>
      </c>
      <c r="AC38" s="62">
        <f>I38+P38+W38</f>
        <v/>
      </c>
      <c r="AD38" s="62">
        <f>J38+Q38+X38</f>
        <v/>
      </c>
      <c r="AE38" s="62">
        <f>K38+R38+Y38</f>
        <v/>
      </c>
      <c r="AF38" s="62">
        <f>L38+S38+Z38</f>
        <v/>
      </c>
      <c r="AG38" s="15">
        <f>M38+T38+AA38</f>
        <v/>
      </c>
      <c r="AH38" s="62">
        <f>G38+N38+U38</f>
        <v/>
      </c>
      <c r="AI38" s="63">
        <f>AG38-AH38</f>
        <v/>
      </c>
      <c r="AJ38" s="68" t="n"/>
    </row>
    <row r="39">
      <c r="A39" s="24" t="n"/>
      <c r="B39" s="113" t="inlineStr">
        <is>
          <t>HOUSEHOLD &amp; PERSONAL</t>
        </is>
      </c>
      <c r="C39" s="24">
        <f>SUM(C40:C46)</f>
        <v/>
      </c>
      <c r="D39" s="24">
        <f>SUM(D40:D46)</f>
        <v/>
      </c>
      <c r="E39" s="24">
        <f>SUM(E40:E46)</f>
        <v/>
      </c>
      <c r="F39" s="69" t="n"/>
      <c r="G39" s="78">
        <f>SUM(G40:G46)</f>
        <v/>
      </c>
      <c r="H39" s="79">
        <f>SUM(H40:H46)</f>
        <v/>
      </c>
      <c r="I39" s="79">
        <f>SUM(I40:I46)</f>
        <v/>
      </c>
      <c r="J39" s="79">
        <f>SUM(J40:J46)</f>
        <v/>
      </c>
      <c r="K39" s="79">
        <f>SUM(K40:K46)</f>
        <v/>
      </c>
      <c r="L39" s="69">
        <f>SUM(L40:L46)</f>
        <v/>
      </c>
      <c r="M39" s="91">
        <f>SUM(M40:M46)</f>
        <v/>
      </c>
      <c r="N39" s="78">
        <f>SUM(N40:N46)</f>
        <v/>
      </c>
      <c r="O39" s="79">
        <f>SUM(O40:O46)</f>
        <v/>
      </c>
      <c r="P39" s="79">
        <f>SUM(P40:P46)</f>
        <v/>
      </c>
      <c r="Q39" s="79">
        <f>SUM(Q40:Q46)</f>
        <v/>
      </c>
      <c r="R39" s="79">
        <f>SUM(R40:R46)</f>
        <v/>
      </c>
      <c r="S39" s="69">
        <f>SUM(S40:S46)</f>
        <v/>
      </c>
      <c r="T39" s="91">
        <f>SUM(T40:T46)</f>
        <v/>
      </c>
      <c r="U39" s="78">
        <f>SUM(U40:U46)</f>
        <v/>
      </c>
      <c r="V39" s="79">
        <f>SUM(V40:V46)</f>
        <v/>
      </c>
      <c r="W39" s="79">
        <f>SUM(W40:W46)</f>
        <v/>
      </c>
      <c r="X39" s="79">
        <f>SUM(X40:X46)</f>
        <v/>
      </c>
      <c r="Y39" s="79">
        <f>SUM(Y40:Y46)</f>
        <v/>
      </c>
      <c r="Z39" s="80">
        <f>SUM(Z40:Z46)</f>
        <v/>
      </c>
      <c r="AA39" s="91">
        <f>SUM(AA40:AA46)</f>
        <v/>
      </c>
      <c r="AB39" s="71">
        <f>SUM(AB40:AB46)</f>
        <v/>
      </c>
      <c r="AC39" s="24">
        <f>SUM(AC40:AC46)</f>
        <v/>
      </c>
      <c r="AD39" s="24">
        <f>SUM(AD40:AD46)</f>
        <v/>
      </c>
      <c r="AE39" s="24">
        <f>SUM(AE40:AE46)</f>
        <v/>
      </c>
      <c r="AF39" s="24">
        <f>SUM(AF40:AF46)</f>
        <v/>
      </c>
      <c r="AG39" s="24">
        <f>SUM(AG40:AG46)</f>
        <v/>
      </c>
      <c r="AH39" s="24">
        <f>SUM(AH40:AH46)</f>
        <v/>
      </c>
      <c r="AI39" s="24">
        <f>SUM(AI40:AI46)</f>
        <v/>
      </c>
      <c r="AJ39" s="24" t="n"/>
    </row>
    <row r="40">
      <c r="A40" s="35">
        <f>EXPENSES!L38</f>
        <v/>
      </c>
      <c r="B40" s="36">
        <f>EXPENSES!B38</f>
        <v/>
      </c>
      <c r="C40" s="37">
        <f>EXPENSES!E38</f>
        <v/>
      </c>
      <c r="D40" s="37">
        <f>EXPENSES!I38</f>
        <v/>
      </c>
      <c r="E40" s="37">
        <f>C40+D40</f>
        <v/>
      </c>
      <c r="F40" s="70" t="n"/>
      <c r="G40" s="76" t="n"/>
      <c r="H40" s="77" t="n"/>
      <c r="I40" s="77" t="n"/>
      <c r="J40" s="77" t="n"/>
      <c r="K40" s="77" t="n"/>
      <c r="L40" s="87" t="n"/>
      <c r="M40" s="90">
        <f>SUM(H40:L40)</f>
        <v/>
      </c>
      <c r="N40" s="76" t="n"/>
      <c r="O40" s="77" t="n"/>
      <c r="P40" s="77" t="n"/>
      <c r="Q40" s="77" t="n"/>
      <c r="R40" s="77" t="n"/>
      <c r="S40" s="87" t="n"/>
      <c r="T40" s="90">
        <f>SUM(O40:S40)</f>
        <v/>
      </c>
      <c r="U40" s="76" t="n"/>
      <c r="V40" s="77" t="n"/>
      <c r="W40" s="77" t="n"/>
      <c r="X40" s="77" t="n"/>
      <c r="Y40" s="77" t="n"/>
      <c r="Z40" s="99" t="n"/>
      <c r="AA40" s="90">
        <f>SUM(V40:Z40)</f>
        <v/>
      </c>
      <c r="AB40" s="100">
        <f>H40+O40+V40</f>
        <v/>
      </c>
      <c r="AC40" s="62">
        <f>I40+P40+W40</f>
        <v/>
      </c>
      <c r="AD40" s="62">
        <f>J40+Q40+X40</f>
        <v/>
      </c>
      <c r="AE40" s="62">
        <f>K40+R40+Y40</f>
        <v/>
      </c>
      <c r="AF40" s="62">
        <f>L40+S40+Z40</f>
        <v/>
      </c>
      <c r="AG40" s="15">
        <f>M40+T40+AA40</f>
        <v/>
      </c>
      <c r="AH40" s="62">
        <f>G40+N40+U40</f>
        <v/>
      </c>
      <c r="AI40" s="63">
        <f>AG40-AH40</f>
        <v/>
      </c>
      <c r="AJ40" s="68" t="n"/>
    </row>
    <row r="41">
      <c r="A41" s="35">
        <f>EXPENSES!L39</f>
        <v/>
      </c>
      <c r="B41" s="36">
        <f>EXPENSES!B39</f>
        <v/>
      </c>
      <c r="C41" s="37">
        <f>EXPENSES!E39</f>
        <v/>
      </c>
      <c r="D41" s="37">
        <f>EXPENSES!I39</f>
        <v/>
      </c>
      <c r="E41" s="37">
        <f>C41+D41</f>
        <v/>
      </c>
      <c r="F41" s="70" t="n"/>
      <c r="G41" s="76" t="n"/>
      <c r="H41" s="77" t="n"/>
      <c r="I41" s="77" t="n"/>
      <c r="J41" s="77" t="n"/>
      <c r="K41" s="77" t="n"/>
      <c r="L41" s="87" t="n"/>
      <c r="M41" s="90">
        <f>SUM(H41:L41)</f>
        <v/>
      </c>
      <c r="N41" s="76" t="n"/>
      <c r="O41" s="77" t="n"/>
      <c r="P41" s="77" t="n"/>
      <c r="Q41" s="77" t="n"/>
      <c r="R41" s="77" t="n"/>
      <c r="S41" s="87" t="n"/>
      <c r="T41" s="90">
        <f>SUM(O41:S41)</f>
        <v/>
      </c>
      <c r="U41" s="76" t="n"/>
      <c r="V41" s="77" t="n"/>
      <c r="W41" s="77" t="n"/>
      <c r="X41" s="77" t="n"/>
      <c r="Y41" s="77" t="n"/>
      <c r="Z41" s="99" t="n"/>
      <c r="AA41" s="90">
        <f>SUM(V41:Z41)</f>
        <v/>
      </c>
      <c r="AB41" s="100">
        <f>H41+O41+V41</f>
        <v/>
      </c>
      <c r="AC41" s="62">
        <f>I41+P41+W41</f>
        <v/>
      </c>
      <c r="AD41" s="62">
        <f>J41+Q41+X41</f>
        <v/>
      </c>
      <c r="AE41" s="62">
        <f>K41+R41+Y41</f>
        <v/>
      </c>
      <c r="AF41" s="62">
        <f>L41+S41+Z41</f>
        <v/>
      </c>
      <c r="AG41" s="15">
        <f>M41+T41+AA41</f>
        <v/>
      </c>
      <c r="AH41" s="62">
        <f>G41+N41+U41</f>
        <v/>
      </c>
      <c r="AI41" s="63">
        <f>AG41-AH41</f>
        <v/>
      </c>
      <c r="AJ41" s="68" t="n"/>
    </row>
    <row r="42">
      <c r="A42" s="35">
        <f>EXPENSES!L40</f>
        <v/>
      </c>
      <c r="B42" s="36">
        <f>EXPENSES!B40</f>
        <v/>
      </c>
      <c r="C42" s="37">
        <f>EXPENSES!E40</f>
        <v/>
      </c>
      <c r="D42" s="37">
        <f>EXPENSES!I40</f>
        <v/>
      </c>
      <c r="E42" s="37">
        <f>C42+D42</f>
        <v/>
      </c>
      <c r="F42" s="70" t="n"/>
      <c r="G42" s="76" t="n"/>
      <c r="H42" s="77" t="n"/>
      <c r="I42" s="77" t="n"/>
      <c r="J42" s="77" t="n"/>
      <c r="K42" s="77" t="n"/>
      <c r="L42" s="87" t="n"/>
      <c r="M42" s="90">
        <f>SUM(H42:L42)</f>
        <v/>
      </c>
      <c r="N42" s="76" t="n"/>
      <c r="O42" s="77" t="n"/>
      <c r="P42" s="77" t="n"/>
      <c r="Q42" s="77" t="n"/>
      <c r="R42" s="77" t="n"/>
      <c r="S42" s="87" t="n"/>
      <c r="T42" s="90">
        <f>SUM(O42:S42)</f>
        <v/>
      </c>
      <c r="U42" s="76" t="n"/>
      <c r="V42" s="77" t="n"/>
      <c r="W42" s="77" t="n"/>
      <c r="X42" s="77" t="n"/>
      <c r="Y42" s="77" t="n"/>
      <c r="Z42" s="99" t="n"/>
      <c r="AA42" s="90">
        <f>SUM(V42:Z42)</f>
        <v/>
      </c>
      <c r="AB42" s="100">
        <f>H42+O42+V42</f>
        <v/>
      </c>
      <c r="AC42" s="62">
        <f>I42+P42+W42</f>
        <v/>
      </c>
      <c r="AD42" s="62">
        <f>J42+Q42+X42</f>
        <v/>
      </c>
      <c r="AE42" s="62">
        <f>K42+R42+Y42</f>
        <v/>
      </c>
      <c r="AF42" s="62">
        <f>L42+S42+Z42</f>
        <v/>
      </c>
      <c r="AG42" s="15">
        <f>M42+T42+AA42</f>
        <v/>
      </c>
      <c r="AH42" s="62">
        <f>G42+N42+U42</f>
        <v/>
      </c>
      <c r="AI42" s="63">
        <f>AG42-AH42</f>
        <v/>
      </c>
      <c r="AJ42" s="68" t="n"/>
    </row>
    <row r="43">
      <c r="A43" s="35">
        <f>EXPENSES!L41</f>
        <v/>
      </c>
      <c r="B43" s="36">
        <f>EXPENSES!B41</f>
        <v/>
      </c>
      <c r="C43" s="37">
        <f>EXPENSES!E41</f>
        <v/>
      </c>
      <c r="D43" s="37">
        <f>EXPENSES!I41</f>
        <v/>
      </c>
      <c r="E43" s="37">
        <f>C43+D43</f>
        <v/>
      </c>
      <c r="F43" s="70" t="n"/>
      <c r="G43" s="76" t="n"/>
      <c r="H43" s="77" t="n"/>
      <c r="I43" s="77" t="n"/>
      <c r="J43" s="77" t="n"/>
      <c r="K43" s="77" t="n"/>
      <c r="L43" s="87" t="n"/>
      <c r="M43" s="90">
        <f>SUM(H43:L43)</f>
        <v/>
      </c>
      <c r="N43" s="76" t="n"/>
      <c r="O43" s="77" t="n"/>
      <c r="P43" s="77" t="n"/>
      <c r="Q43" s="77" t="n"/>
      <c r="R43" s="77" t="n"/>
      <c r="S43" s="87" t="n"/>
      <c r="T43" s="90">
        <f>SUM(O43:S43)</f>
        <v/>
      </c>
      <c r="U43" s="76" t="n"/>
      <c r="V43" s="77" t="n"/>
      <c r="W43" s="77" t="n"/>
      <c r="X43" s="77" t="n"/>
      <c r="Y43" s="77" t="n"/>
      <c r="Z43" s="99" t="n"/>
      <c r="AA43" s="90">
        <f>SUM(V43:Z43)</f>
        <v/>
      </c>
      <c r="AB43" s="100">
        <f>H43+O43+V43</f>
        <v/>
      </c>
      <c r="AC43" s="62">
        <f>I43+P43+W43</f>
        <v/>
      </c>
      <c r="AD43" s="62">
        <f>J43+Q43+X43</f>
        <v/>
      </c>
      <c r="AE43" s="62">
        <f>K43+R43+Y43</f>
        <v/>
      </c>
      <c r="AF43" s="62">
        <f>L43+S43+Z43</f>
        <v/>
      </c>
      <c r="AG43" s="15">
        <f>M43+T43+AA43</f>
        <v/>
      </c>
      <c r="AH43" s="62">
        <f>G43+N43+U43</f>
        <v/>
      </c>
      <c r="AI43" s="63">
        <f>AG43-AH43</f>
        <v/>
      </c>
      <c r="AJ43" s="68" t="n"/>
    </row>
    <row r="44">
      <c r="A44" s="35">
        <f>EXPENSES!L42</f>
        <v/>
      </c>
      <c r="B44" s="36">
        <f>EXPENSES!B42</f>
        <v/>
      </c>
      <c r="C44" s="37">
        <f>EXPENSES!E42</f>
        <v/>
      </c>
      <c r="D44" s="37">
        <f>EXPENSES!I42</f>
        <v/>
      </c>
      <c r="E44" s="37">
        <f>C44+D44</f>
        <v/>
      </c>
      <c r="F44" s="70" t="n"/>
      <c r="G44" s="76" t="n"/>
      <c r="H44" s="77" t="n"/>
      <c r="I44" s="77" t="n"/>
      <c r="J44" s="77" t="n"/>
      <c r="K44" s="77" t="n"/>
      <c r="L44" s="87" t="n"/>
      <c r="M44" s="90">
        <f>SUM(H44:L44)</f>
        <v/>
      </c>
      <c r="N44" s="76" t="n"/>
      <c r="O44" s="77" t="n"/>
      <c r="P44" s="77" t="n"/>
      <c r="Q44" s="77" t="n"/>
      <c r="R44" s="77" t="n"/>
      <c r="S44" s="87" t="n"/>
      <c r="T44" s="90">
        <f>SUM(O44:S44)</f>
        <v/>
      </c>
      <c r="U44" s="76" t="n"/>
      <c r="V44" s="77" t="n"/>
      <c r="W44" s="77" t="n"/>
      <c r="X44" s="77" t="n"/>
      <c r="Y44" s="77" t="n"/>
      <c r="Z44" s="99" t="n"/>
      <c r="AA44" s="90">
        <f>SUM(V44:Z44)</f>
        <v/>
      </c>
      <c r="AB44" s="100">
        <f>H44+O44+V44</f>
        <v/>
      </c>
      <c r="AC44" s="62">
        <f>I44+P44+W44</f>
        <v/>
      </c>
      <c r="AD44" s="62">
        <f>J44+Q44+X44</f>
        <v/>
      </c>
      <c r="AE44" s="62">
        <f>K44+R44+Y44</f>
        <v/>
      </c>
      <c r="AF44" s="62">
        <f>L44+S44+Z44</f>
        <v/>
      </c>
      <c r="AG44" s="15">
        <f>M44+T44+AA44</f>
        <v/>
      </c>
      <c r="AH44" s="62">
        <f>G44+N44+U44</f>
        <v/>
      </c>
      <c r="AI44" s="63">
        <f>AG44-AH44</f>
        <v/>
      </c>
      <c r="AJ44" s="68" t="n"/>
    </row>
    <row r="45">
      <c r="A45" s="35">
        <f>EXPENSES!L43</f>
        <v/>
      </c>
      <c r="B45" s="36">
        <f>EXPENSES!B43</f>
        <v/>
      </c>
      <c r="C45" s="37">
        <f>EXPENSES!E43</f>
        <v/>
      </c>
      <c r="D45" s="37">
        <f>EXPENSES!I43</f>
        <v/>
      </c>
      <c r="E45" s="37">
        <f>C45+D45</f>
        <v/>
      </c>
      <c r="F45" s="70" t="n"/>
      <c r="G45" s="76" t="n"/>
      <c r="H45" s="77" t="n"/>
      <c r="I45" s="77" t="n"/>
      <c r="J45" s="77" t="n"/>
      <c r="K45" s="77" t="n"/>
      <c r="L45" s="87" t="n"/>
      <c r="M45" s="90">
        <f>SUM(H45:L45)</f>
        <v/>
      </c>
      <c r="N45" s="76" t="n"/>
      <c r="O45" s="77" t="n"/>
      <c r="P45" s="77" t="n"/>
      <c r="Q45" s="77" t="n"/>
      <c r="R45" s="77" t="n"/>
      <c r="S45" s="87" t="n"/>
      <c r="T45" s="90">
        <f>SUM(O45:S45)</f>
        <v/>
      </c>
      <c r="U45" s="76" t="n"/>
      <c r="V45" s="77" t="n"/>
      <c r="W45" s="77" t="n"/>
      <c r="X45" s="77" t="n"/>
      <c r="Y45" s="77" t="n"/>
      <c r="Z45" s="99" t="n"/>
      <c r="AA45" s="90">
        <f>SUM(V45:Z45)</f>
        <v/>
      </c>
      <c r="AB45" s="100">
        <f>H45+O45+V45</f>
        <v/>
      </c>
      <c r="AC45" s="62">
        <f>I45+P45+W45</f>
        <v/>
      </c>
      <c r="AD45" s="62">
        <f>J45+Q45+X45</f>
        <v/>
      </c>
      <c r="AE45" s="62">
        <f>K45+R45+Y45</f>
        <v/>
      </c>
      <c r="AF45" s="62">
        <f>L45+S45+Z45</f>
        <v/>
      </c>
      <c r="AG45" s="15">
        <f>M45+T45+AA45</f>
        <v/>
      </c>
      <c r="AH45" s="62">
        <f>G45+N45+U45</f>
        <v/>
      </c>
      <c r="AI45" s="63">
        <f>AG45-AH45</f>
        <v/>
      </c>
      <c r="AJ45" s="68" t="n"/>
    </row>
    <row r="46">
      <c r="A46" s="35">
        <f>EXPENSES!L44</f>
        <v/>
      </c>
      <c r="B46" s="36">
        <f>EXPENSES!B44</f>
        <v/>
      </c>
      <c r="C46" s="37">
        <f>EXPENSES!E44</f>
        <v/>
      </c>
      <c r="D46" s="37">
        <f>EXPENSES!I44</f>
        <v/>
      </c>
      <c r="E46" s="37">
        <f>C46+D46</f>
        <v/>
      </c>
      <c r="F46" s="70" t="n"/>
      <c r="G46" s="76" t="n"/>
      <c r="H46" s="77" t="n"/>
      <c r="I46" s="77" t="n"/>
      <c r="J46" s="77" t="n"/>
      <c r="K46" s="77" t="n"/>
      <c r="L46" s="87" t="n"/>
      <c r="M46" s="90">
        <f>SUM(H46:L46)</f>
        <v/>
      </c>
      <c r="N46" s="76" t="n"/>
      <c r="O46" s="77" t="n"/>
      <c r="P46" s="77" t="n"/>
      <c r="Q46" s="77" t="n"/>
      <c r="R46" s="77" t="n"/>
      <c r="S46" s="87" t="n"/>
      <c r="T46" s="90">
        <f>SUM(O46:S46)</f>
        <v/>
      </c>
      <c r="U46" s="76" t="n"/>
      <c r="V46" s="77" t="n"/>
      <c r="W46" s="77" t="n"/>
      <c r="X46" s="77" t="n"/>
      <c r="Y46" s="77" t="n"/>
      <c r="Z46" s="99" t="n"/>
      <c r="AA46" s="90">
        <f>SUM(V46:Z46)</f>
        <v/>
      </c>
      <c r="AB46" s="100">
        <f>H46+O46+V46</f>
        <v/>
      </c>
      <c r="AC46" s="62">
        <f>I46+P46+W46</f>
        <v/>
      </c>
      <c r="AD46" s="62">
        <f>J46+Q46+X46</f>
        <v/>
      </c>
      <c r="AE46" s="62">
        <f>K46+R46+Y46</f>
        <v/>
      </c>
      <c r="AF46" s="62">
        <f>L46+S46+Z46</f>
        <v/>
      </c>
      <c r="AG46" s="15">
        <f>M46+T46+AA46</f>
        <v/>
      </c>
      <c r="AH46" s="62">
        <f>G46+N46+U46</f>
        <v/>
      </c>
      <c r="AI46" s="63">
        <f>AG46-AH46</f>
        <v/>
      </c>
      <c r="AJ46" s="68" t="n"/>
    </row>
    <row r="47">
      <c r="A47" s="24" t="n"/>
      <c r="B47" s="113" t="inlineStr">
        <is>
          <t>CLOTHING</t>
        </is>
      </c>
      <c r="C47" s="24">
        <f>SUM(C48:C52)</f>
        <v/>
      </c>
      <c r="D47" s="24">
        <f>SUM(D48:D52)</f>
        <v/>
      </c>
      <c r="E47" s="24">
        <f>SUM(E48:E52)</f>
        <v/>
      </c>
      <c r="F47" s="69" t="n"/>
      <c r="G47" s="78">
        <f>SUM(G48:G52)</f>
        <v/>
      </c>
      <c r="H47" s="79">
        <f>SUM(H48:H52)</f>
        <v/>
      </c>
      <c r="I47" s="79">
        <f>SUM(I48:I52)</f>
        <v/>
      </c>
      <c r="J47" s="79">
        <f>SUM(J48:J52)</f>
        <v/>
      </c>
      <c r="K47" s="79">
        <f>SUM(K48:K52)</f>
        <v/>
      </c>
      <c r="L47" s="69">
        <f>SUM(L48:L52)</f>
        <v/>
      </c>
      <c r="M47" s="91">
        <f>SUM(M48:M52)</f>
        <v/>
      </c>
      <c r="N47" s="78">
        <f>SUM(N48:N52)</f>
        <v/>
      </c>
      <c r="O47" s="79">
        <f>SUM(O48:O52)</f>
        <v/>
      </c>
      <c r="P47" s="79">
        <f>SUM(P48:P52)</f>
        <v/>
      </c>
      <c r="Q47" s="79">
        <f>SUM(Q48:Q52)</f>
        <v/>
      </c>
      <c r="R47" s="79">
        <f>SUM(R48:R52)</f>
        <v/>
      </c>
      <c r="S47" s="69">
        <f>SUM(S48:S52)</f>
        <v/>
      </c>
      <c r="T47" s="91">
        <f>SUM(T48:T52)</f>
        <v/>
      </c>
      <c r="U47" s="78">
        <f>SUM(U48:U52)</f>
        <v/>
      </c>
      <c r="V47" s="79">
        <f>SUM(V48:V52)</f>
        <v/>
      </c>
      <c r="W47" s="79">
        <f>SUM(W48:W52)</f>
        <v/>
      </c>
      <c r="X47" s="79">
        <f>SUM(X48:X52)</f>
        <v/>
      </c>
      <c r="Y47" s="79">
        <f>SUM(Y48:Y52)</f>
        <v/>
      </c>
      <c r="Z47" s="80">
        <f>SUM(Z48:Z52)</f>
        <v/>
      </c>
      <c r="AA47" s="91">
        <f>SUM(AA48:AA52)</f>
        <v/>
      </c>
      <c r="AB47" s="71">
        <f>SUM(AB48:AB52)</f>
        <v/>
      </c>
      <c r="AC47" s="24">
        <f>SUM(AC48:AC52)</f>
        <v/>
      </c>
      <c r="AD47" s="24">
        <f>SUM(AD48:AD52)</f>
        <v/>
      </c>
      <c r="AE47" s="24">
        <f>SUM(AE48:AE52)</f>
        <v/>
      </c>
      <c r="AF47" s="24">
        <f>SUM(AF48:AF52)</f>
        <v/>
      </c>
      <c r="AG47" s="24">
        <f>SUM(AG48:AG52)</f>
        <v/>
      </c>
      <c r="AH47" s="24">
        <f>SUM(AH48:AH52)</f>
        <v/>
      </c>
      <c r="AI47" s="24">
        <f>SUM(AI48:AI52)</f>
        <v/>
      </c>
      <c r="AJ47" s="24" t="n"/>
    </row>
    <row r="48">
      <c r="A48" s="35">
        <f>EXPENSES!L46</f>
        <v/>
      </c>
      <c r="B48" s="36">
        <f>EXPENSES!B46</f>
        <v/>
      </c>
      <c r="C48" s="37">
        <f>EXPENSES!E46</f>
        <v/>
      </c>
      <c r="D48" s="37">
        <f>EXPENSES!I46</f>
        <v/>
      </c>
      <c r="E48" s="37">
        <f>C48+D48</f>
        <v/>
      </c>
      <c r="F48" s="70" t="n"/>
      <c r="G48" s="76" t="n"/>
      <c r="H48" s="77" t="n"/>
      <c r="I48" s="77" t="n"/>
      <c r="J48" s="77" t="n"/>
      <c r="K48" s="77" t="n"/>
      <c r="L48" s="87" t="n"/>
      <c r="M48" s="90">
        <f>SUM(H48:L48)</f>
        <v/>
      </c>
      <c r="N48" s="76" t="n"/>
      <c r="O48" s="77" t="n"/>
      <c r="P48" s="77" t="n"/>
      <c r="Q48" s="77" t="n"/>
      <c r="R48" s="77" t="n"/>
      <c r="S48" s="87" t="n"/>
      <c r="T48" s="90">
        <f>SUM(O48:S48)</f>
        <v/>
      </c>
      <c r="U48" s="76" t="n"/>
      <c r="V48" s="77" t="n"/>
      <c r="W48" s="77" t="n"/>
      <c r="X48" s="77" t="n"/>
      <c r="Y48" s="77" t="n"/>
      <c r="Z48" s="99" t="n"/>
      <c r="AA48" s="90">
        <f>SUM(V48:Z48)</f>
        <v/>
      </c>
      <c r="AB48" s="100">
        <f>H48+O48+V48</f>
        <v/>
      </c>
      <c r="AC48" s="62">
        <f>I48+P48+W48</f>
        <v/>
      </c>
      <c r="AD48" s="62">
        <f>J48+Q48+X48</f>
        <v/>
      </c>
      <c r="AE48" s="62">
        <f>K48+R48+Y48</f>
        <v/>
      </c>
      <c r="AF48" s="62">
        <f>L48+S48+Z48</f>
        <v/>
      </c>
      <c r="AG48" s="15">
        <f>M48+T48+AA48</f>
        <v/>
      </c>
      <c r="AH48" s="62">
        <f>G48+N48+U48</f>
        <v/>
      </c>
      <c r="AI48" s="63">
        <f>AG48-AH48</f>
        <v/>
      </c>
      <c r="AJ48" s="68" t="n"/>
    </row>
    <row r="49">
      <c r="A49" s="35">
        <f>EXPENSES!L47</f>
        <v/>
      </c>
      <c r="B49" s="36">
        <f>EXPENSES!B47</f>
        <v/>
      </c>
      <c r="C49" s="37">
        <f>EXPENSES!E47</f>
        <v/>
      </c>
      <c r="D49" s="37">
        <f>EXPENSES!I47</f>
        <v/>
      </c>
      <c r="E49" s="37">
        <f>C49+D49</f>
        <v/>
      </c>
      <c r="F49" s="70" t="n"/>
      <c r="G49" s="76" t="n"/>
      <c r="H49" s="77" t="n"/>
      <c r="I49" s="77" t="n"/>
      <c r="J49" s="77" t="n"/>
      <c r="K49" s="77" t="n"/>
      <c r="L49" s="87" t="n"/>
      <c r="M49" s="90">
        <f>SUM(H49:L49)</f>
        <v/>
      </c>
      <c r="N49" s="76" t="n"/>
      <c r="O49" s="77" t="n"/>
      <c r="P49" s="77" t="n"/>
      <c r="Q49" s="77" t="n"/>
      <c r="R49" s="77" t="n"/>
      <c r="S49" s="87" t="n"/>
      <c r="T49" s="90">
        <f>SUM(O49:S49)</f>
        <v/>
      </c>
      <c r="U49" s="76" t="n"/>
      <c r="V49" s="77" t="n"/>
      <c r="W49" s="77" t="n"/>
      <c r="X49" s="77" t="n"/>
      <c r="Y49" s="77" t="n"/>
      <c r="Z49" s="99" t="n"/>
      <c r="AA49" s="90">
        <f>SUM(V49:Z49)</f>
        <v/>
      </c>
      <c r="AB49" s="100">
        <f>H49+O49+V49</f>
        <v/>
      </c>
      <c r="AC49" s="62">
        <f>I49+P49+W49</f>
        <v/>
      </c>
      <c r="AD49" s="62">
        <f>J49+Q49+X49</f>
        <v/>
      </c>
      <c r="AE49" s="62">
        <f>K49+R49+Y49</f>
        <v/>
      </c>
      <c r="AF49" s="62">
        <f>L49+S49+Z49</f>
        <v/>
      </c>
      <c r="AG49" s="15">
        <f>M49+T49+AA49</f>
        <v/>
      </c>
      <c r="AH49" s="62">
        <f>G49+N49+U49</f>
        <v/>
      </c>
      <c r="AI49" s="63">
        <f>AG49-AH49</f>
        <v/>
      </c>
      <c r="AJ49" s="68" t="n"/>
    </row>
    <row r="50">
      <c r="A50" s="35">
        <f>EXPENSES!L48</f>
        <v/>
      </c>
      <c r="B50" s="36">
        <f>EXPENSES!B48</f>
        <v/>
      </c>
      <c r="C50" s="37">
        <f>EXPENSES!E48</f>
        <v/>
      </c>
      <c r="D50" s="37">
        <f>EXPENSES!I48</f>
        <v/>
      </c>
      <c r="E50" s="37">
        <f>C50+D50</f>
        <v/>
      </c>
      <c r="F50" s="70" t="n"/>
      <c r="G50" s="76" t="n"/>
      <c r="H50" s="77" t="n"/>
      <c r="I50" s="77" t="n"/>
      <c r="J50" s="77" t="n"/>
      <c r="K50" s="77" t="n"/>
      <c r="L50" s="87" t="n"/>
      <c r="M50" s="90">
        <f>SUM(H50:L50)</f>
        <v/>
      </c>
      <c r="N50" s="76" t="n"/>
      <c r="O50" s="77" t="n"/>
      <c r="P50" s="77" t="n"/>
      <c r="Q50" s="77" t="n"/>
      <c r="R50" s="77" t="n"/>
      <c r="S50" s="87" t="n"/>
      <c r="T50" s="90">
        <f>SUM(O50:S50)</f>
        <v/>
      </c>
      <c r="U50" s="76" t="n"/>
      <c r="V50" s="77" t="n"/>
      <c r="W50" s="77" t="n"/>
      <c r="X50" s="77" t="n"/>
      <c r="Y50" s="77" t="n"/>
      <c r="Z50" s="99" t="n"/>
      <c r="AA50" s="90">
        <f>SUM(V50:Z50)</f>
        <v/>
      </c>
      <c r="AB50" s="100">
        <f>H50+O50+V50</f>
        <v/>
      </c>
      <c r="AC50" s="62">
        <f>I50+P50+W50</f>
        <v/>
      </c>
      <c r="AD50" s="62">
        <f>J50+Q50+X50</f>
        <v/>
      </c>
      <c r="AE50" s="62">
        <f>K50+R50+Y50</f>
        <v/>
      </c>
      <c r="AF50" s="62">
        <f>L50+S50+Z50</f>
        <v/>
      </c>
      <c r="AG50" s="15">
        <f>M50+T50+AA50</f>
        <v/>
      </c>
      <c r="AH50" s="62">
        <f>G50+N50+U50</f>
        <v/>
      </c>
      <c r="AI50" s="63">
        <f>AG50-AH50</f>
        <v/>
      </c>
      <c r="AJ50" s="68" t="n"/>
    </row>
    <row r="51">
      <c r="A51" s="35">
        <f>EXPENSES!L49</f>
        <v/>
      </c>
      <c r="B51" s="36">
        <f>EXPENSES!B49</f>
        <v/>
      </c>
      <c r="C51" s="37">
        <f>EXPENSES!E49</f>
        <v/>
      </c>
      <c r="D51" s="37">
        <f>EXPENSES!I49</f>
        <v/>
      </c>
      <c r="E51" s="37">
        <f>C51+D51</f>
        <v/>
      </c>
      <c r="F51" s="70" t="n"/>
      <c r="G51" s="76" t="n"/>
      <c r="H51" s="77" t="n"/>
      <c r="I51" s="77" t="n"/>
      <c r="J51" s="77" t="n"/>
      <c r="K51" s="77" t="n"/>
      <c r="L51" s="87" t="n"/>
      <c r="M51" s="90">
        <f>SUM(H51:L51)</f>
        <v/>
      </c>
      <c r="N51" s="76" t="n"/>
      <c r="O51" s="77" t="n"/>
      <c r="P51" s="77" t="n"/>
      <c r="Q51" s="77" t="n"/>
      <c r="R51" s="77" t="n"/>
      <c r="S51" s="87" t="n"/>
      <c r="T51" s="90">
        <f>SUM(O51:S51)</f>
        <v/>
      </c>
      <c r="U51" s="76" t="n"/>
      <c r="V51" s="77" t="n"/>
      <c r="W51" s="77" t="n"/>
      <c r="X51" s="77" t="n"/>
      <c r="Y51" s="77" t="n"/>
      <c r="Z51" s="99" t="n"/>
      <c r="AA51" s="90">
        <f>SUM(V51:Z51)</f>
        <v/>
      </c>
      <c r="AB51" s="100">
        <f>H51+O51+V51</f>
        <v/>
      </c>
      <c r="AC51" s="62">
        <f>I51+P51+W51</f>
        <v/>
      </c>
      <c r="AD51" s="62">
        <f>J51+Q51+X51</f>
        <v/>
      </c>
      <c r="AE51" s="62">
        <f>K51+R51+Y51</f>
        <v/>
      </c>
      <c r="AF51" s="62">
        <f>L51+S51+Z51</f>
        <v/>
      </c>
      <c r="AG51" s="15">
        <f>M51+T51+AA51</f>
        <v/>
      </c>
      <c r="AH51" s="62">
        <f>G51+N51+U51</f>
        <v/>
      </c>
      <c r="AI51" s="63">
        <f>AG51-AH51</f>
        <v/>
      </c>
      <c r="AJ51" s="68" t="n"/>
    </row>
    <row r="52">
      <c r="A52" s="35">
        <f>EXPENSES!L50</f>
        <v/>
      </c>
      <c r="B52" s="36">
        <f>EXPENSES!B50</f>
        <v/>
      </c>
      <c r="C52" s="37">
        <f>EXPENSES!E50</f>
        <v/>
      </c>
      <c r="D52" s="37">
        <f>EXPENSES!I50</f>
        <v/>
      </c>
      <c r="E52" s="37">
        <f>C52+D52</f>
        <v/>
      </c>
      <c r="F52" s="70" t="n"/>
      <c r="G52" s="76" t="n"/>
      <c r="H52" s="77" t="n"/>
      <c r="I52" s="77" t="n"/>
      <c r="J52" s="77" t="n"/>
      <c r="K52" s="77" t="n"/>
      <c r="L52" s="87" t="n"/>
      <c r="M52" s="90">
        <f>SUM(H52:L52)</f>
        <v/>
      </c>
      <c r="N52" s="76" t="n"/>
      <c r="O52" s="77" t="n"/>
      <c r="P52" s="77" t="n"/>
      <c r="Q52" s="77" t="n"/>
      <c r="R52" s="77" t="n"/>
      <c r="S52" s="87" t="n"/>
      <c r="T52" s="90">
        <f>SUM(O52:S52)</f>
        <v/>
      </c>
      <c r="U52" s="76" t="n"/>
      <c r="V52" s="77" t="n"/>
      <c r="W52" s="77" t="n"/>
      <c r="X52" s="77" t="n"/>
      <c r="Y52" s="77" t="n"/>
      <c r="Z52" s="99" t="n"/>
      <c r="AA52" s="90">
        <f>SUM(V52:Z52)</f>
        <v/>
      </c>
      <c r="AB52" s="100">
        <f>H52+O52+V52</f>
        <v/>
      </c>
      <c r="AC52" s="62">
        <f>I52+P52+W52</f>
        <v/>
      </c>
      <c r="AD52" s="62">
        <f>J52+Q52+X52</f>
        <v/>
      </c>
      <c r="AE52" s="62">
        <f>K52+R52+Y52</f>
        <v/>
      </c>
      <c r="AF52" s="62">
        <f>L52+S52+Z52</f>
        <v/>
      </c>
      <c r="AG52" s="15">
        <f>M52+T52+AA52</f>
        <v/>
      </c>
      <c r="AH52" s="62">
        <f>G52+N52+U52</f>
        <v/>
      </c>
      <c r="AI52" s="63">
        <f>AG52-AH52</f>
        <v/>
      </c>
      <c r="AJ52" s="68" t="n"/>
    </row>
    <row r="53">
      <c r="A53" s="24" t="n"/>
      <c r="B53" s="113" t="inlineStr">
        <is>
          <t>TRANSPORTATION</t>
        </is>
      </c>
      <c r="C53" s="24">
        <f>SUM(C54:C62)</f>
        <v/>
      </c>
      <c r="D53" s="24">
        <f>SUM(D54:D62)</f>
        <v/>
      </c>
      <c r="E53" s="24">
        <f>SUM(E54:E62)</f>
        <v/>
      </c>
      <c r="F53" s="69" t="n"/>
      <c r="G53" s="78">
        <f>SUM(G54:G62)</f>
        <v/>
      </c>
      <c r="H53" s="79">
        <f>SUM(H54:H62)</f>
        <v/>
      </c>
      <c r="I53" s="79">
        <f>SUM(I54:I62)</f>
        <v/>
      </c>
      <c r="J53" s="79">
        <f>SUM(J54:J62)</f>
        <v/>
      </c>
      <c r="K53" s="79">
        <f>SUM(K54:K62)</f>
        <v/>
      </c>
      <c r="L53" s="69">
        <f>SUM(L54:L62)</f>
        <v/>
      </c>
      <c r="M53" s="91">
        <f>SUM(M54:M62)</f>
        <v/>
      </c>
      <c r="N53" s="78">
        <f>SUM(N54:N62)</f>
        <v/>
      </c>
      <c r="O53" s="79">
        <f>SUM(O54:O62)</f>
        <v/>
      </c>
      <c r="P53" s="79">
        <f>SUM(P54:P62)</f>
        <v/>
      </c>
      <c r="Q53" s="79">
        <f>SUM(Q54:Q62)</f>
        <v/>
      </c>
      <c r="R53" s="79">
        <f>SUM(R54:R62)</f>
        <v/>
      </c>
      <c r="S53" s="69">
        <f>SUM(S54:S62)</f>
        <v/>
      </c>
      <c r="T53" s="91">
        <f>SUM(T54:T62)</f>
        <v/>
      </c>
      <c r="U53" s="78">
        <f>SUM(U54:U62)</f>
        <v/>
      </c>
      <c r="V53" s="79">
        <f>SUM(V54:V62)</f>
        <v/>
      </c>
      <c r="W53" s="79">
        <f>SUM(W54:W62)</f>
        <v/>
      </c>
      <c r="X53" s="79">
        <f>SUM(X54:X62)</f>
        <v/>
      </c>
      <c r="Y53" s="79">
        <f>SUM(Y54:Y62)</f>
        <v/>
      </c>
      <c r="Z53" s="80">
        <f>SUM(Z54:Z62)</f>
        <v/>
      </c>
      <c r="AA53" s="91">
        <f>SUM(AA54:AA62)</f>
        <v/>
      </c>
      <c r="AB53" s="71">
        <f>SUM(AB54:AB62)</f>
        <v/>
      </c>
      <c r="AC53" s="24">
        <f>SUM(AC54:AC62)</f>
        <v/>
      </c>
      <c r="AD53" s="24">
        <f>SUM(AD54:AD62)</f>
        <v/>
      </c>
      <c r="AE53" s="24">
        <f>SUM(AE54:AE62)</f>
        <v/>
      </c>
      <c r="AF53" s="24">
        <f>SUM(AF54:AF62)</f>
        <v/>
      </c>
      <c r="AG53" s="24">
        <f>SUM(AG54:AG62)</f>
        <v/>
      </c>
      <c r="AH53" s="24">
        <f>SUM(AH54:AH62)</f>
        <v/>
      </c>
      <c r="AI53" s="24">
        <f>SUM(AI54:AI62)</f>
        <v/>
      </c>
      <c r="AJ53" s="24" t="n"/>
    </row>
    <row r="54">
      <c r="A54" s="35">
        <f>EXPENSES!L52</f>
        <v/>
      </c>
      <c r="B54" s="36">
        <f>EXPENSES!B52</f>
        <v/>
      </c>
      <c r="C54" s="37">
        <f>EXPENSES!E52</f>
        <v/>
      </c>
      <c r="D54" s="37">
        <f>EXPENSES!I52</f>
        <v/>
      </c>
      <c r="E54" s="37">
        <f>C54+D54</f>
        <v/>
      </c>
      <c r="F54" s="70" t="n"/>
      <c r="G54" s="76" t="n"/>
      <c r="H54" s="77" t="n"/>
      <c r="I54" s="77" t="n"/>
      <c r="J54" s="77" t="n"/>
      <c r="K54" s="77" t="n"/>
      <c r="L54" s="87" t="n"/>
      <c r="M54" s="90">
        <f>SUM(H54:L54)</f>
        <v/>
      </c>
      <c r="N54" s="76" t="n"/>
      <c r="O54" s="77" t="n"/>
      <c r="P54" s="77" t="n"/>
      <c r="Q54" s="77" t="n"/>
      <c r="R54" s="77" t="n"/>
      <c r="S54" s="87" t="n"/>
      <c r="T54" s="90">
        <f>SUM(O54:S54)</f>
        <v/>
      </c>
      <c r="U54" s="76" t="n"/>
      <c r="V54" s="77" t="n"/>
      <c r="W54" s="77" t="n"/>
      <c r="X54" s="77" t="n"/>
      <c r="Y54" s="77" t="n"/>
      <c r="Z54" s="99" t="n"/>
      <c r="AA54" s="90">
        <f>SUM(V54:Z54)</f>
        <v/>
      </c>
      <c r="AB54" s="100">
        <f>H54+O54+V54</f>
        <v/>
      </c>
      <c r="AC54" s="62">
        <f>I54+P54+W54</f>
        <v/>
      </c>
      <c r="AD54" s="62">
        <f>J54+Q54+X54</f>
        <v/>
      </c>
      <c r="AE54" s="62">
        <f>K54+R54+Y54</f>
        <v/>
      </c>
      <c r="AF54" s="62">
        <f>L54+S54+Z54</f>
        <v/>
      </c>
      <c r="AG54" s="15">
        <f>M54+T54+AA54</f>
        <v/>
      </c>
      <c r="AH54" s="62">
        <f>G54+N54+U54</f>
        <v/>
      </c>
      <c r="AI54" s="63">
        <f>AG54-AH54</f>
        <v/>
      </c>
      <c r="AJ54" s="68" t="n"/>
    </row>
    <row r="55">
      <c r="A55" s="35">
        <f>EXPENSES!L53</f>
        <v/>
      </c>
      <c r="B55" s="36">
        <f>EXPENSES!B53</f>
        <v/>
      </c>
      <c r="C55" s="37">
        <f>EXPENSES!E53</f>
        <v/>
      </c>
      <c r="D55" s="37">
        <f>EXPENSES!I53</f>
        <v/>
      </c>
      <c r="E55" s="37">
        <f>C55+D55</f>
        <v/>
      </c>
      <c r="F55" s="70" t="n"/>
      <c r="G55" s="76" t="n"/>
      <c r="H55" s="77" t="n"/>
      <c r="I55" s="77" t="n"/>
      <c r="J55" s="77" t="n"/>
      <c r="K55" s="77" t="n"/>
      <c r="L55" s="87" t="n"/>
      <c r="M55" s="90">
        <f>SUM(H55:L55)</f>
        <v/>
      </c>
      <c r="N55" s="76" t="n"/>
      <c r="O55" s="77" t="n"/>
      <c r="P55" s="77" t="n"/>
      <c r="Q55" s="77" t="n"/>
      <c r="R55" s="77" t="n"/>
      <c r="S55" s="87" t="n"/>
      <c r="T55" s="90">
        <f>SUM(O55:S55)</f>
        <v/>
      </c>
      <c r="U55" s="76" t="n"/>
      <c r="V55" s="77" t="n"/>
      <c r="W55" s="77" t="n"/>
      <c r="X55" s="77" t="n"/>
      <c r="Y55" s="77" t="n"/>
      <c r="Z55" s="99" t="n"/>
      <c r="AA55" s="90">
        <f>SUM(V55:Z55)</f>
        <v/>
      </c>
      <c r="AB55" s="100">
        <f>H55+O55+V55</f>
        <v/>
      </c>
      <c r="AC55" s="62">
        <f>I55+P55+W55</f>
        <v/>
      </c>
      <c r="AD55" s="62">
        <f>J55+Q55+X55</f>
        <v/>
      </c>
      <c r="AE55" s="62">
        <f>K55+R55+Y55</f>
        <v/>
      </c>
      <c r="AF55" s="62">
        <f>L55+S55+Z55</f>
        <v/>
      </c>
      <c r="AG55" s="15">
        <f>M55+T55+AA55</f>
        <v/>
      </c>
      <c r="AH55" s="62">
        <f>G55+N55+U55</f>
        <v/>
      </c>
      <c r="AI55" s="63">
        <f>AG55-AH55</f>
        <v/>
      </c>
      <c r="AJ55" s="68" t="n"/>
    </row>
    <row r="56">
      <c r="A56" s="35">
        <f>EXPENSES!L54</f>
        <v/>
      </c>
      <c r="B56" s="36">
        <f>EXPENSES!B54</f>
        <v/>
      </c>
      <c r="C56" s="37">
        <f>EXPENSES!E54</f>
        <v/>
      </c>
      <c r="D56" s="37">
        <f>EXPENSES!I54</f>
        <v/>
      </c>
      <c r="E56" s="37">
        <f>C56+D56</f>
        <v/>
      </c>
      <c r="F56" s="70" t="n"/>
      <c r="G56" s="76" t="n"/>
      <c r="H56" s="77" t="n"/>
      <c r="I56" s="77" t="n"/>
      <c r="J56" s="77" t="n"/>
      <c r="K56" s="77" t="n"/>
      <c r="L56" s="87" t="n"/>
      <c r="M56" s="90">
        <f>SUM(H56:L56)</f>
        <v/>
      </c>
      <c r="N56" s="76" t="n"/>
      <c r="O56" s="77" t="n"/>
      <c r="P56" s="77" t="n"/>
      <c r="Q56" s="77" t="n"/>
      <c r="R56" s="77" t="n"/>
      <c r="S56" s="87" t="n"/>
      <c r="T56" s="90">
        <f>SUM(O56:S56)</f>
        <v/>
      </c>
      <c r="U56" s="76" t="n"/>
      <c r="V56" s="77" t="n"/>
      <c r="W56" s="77" t="n"/>
      <c r="X56" s="77" t="n"/>
      <c r="Y56" s="77" t="n"/>
      <c r="Z56" s="99" t="n"/>
      <c r="AA56" s="90">
        <f>SUM(V56:Z56)</f>
        <v/>
      </c>
      <c r="AB56" s="100">
        <f>H56+O56+V56</f>
        <v/>
      </c>
      <c r="AC56" s="62">
        <f>I56+P56+W56</f>
        <v/>
      </c>
      <c r="AD56" s="62">
        <f>J56+Q56+X56</f>
        <v/>
      </c>
      <c r="AE56" s="62">
        <f>K56+R56+Y56</f>
        <v/>
      </c>
      <c r="AF56" s="62">
        <f>L56+S56+Z56</f>
        <v/>
      </c>
      <c r="AG56" s="15">
        <f>M56+T56+AA56</f>
        <v/>
      </c>
      <c r="AH56" s="62">
        <f>G56+N56+U56</f>
        <v/>
      </c>
      <c r="AI56" s="63">
        <f>AG56-AH56</f>
        <v/>
      </c>
      <c r="AJ56" s="68" t="n"/>
    </row>
    <row r="57">
      <c r="A57" s="35">
        <f>EXPENSES!L55</f>
        <v/>
      </c>
      <c r="B57" s="36">
        <f>EXPENSES!B55</f>
        <v/>
      </c>
      <c r="C57" s="37">
        <f>EXPENSES!E55</f>
        <v/>
      </c>
      <c r="D57" s="37">
        <f>EXPENSES!I55</f>
        <v/>
      </c>
      <c r="E57" s="37">
        <f>C57+D57</f>
        <v/>
      </c>
      <c r="F57" s="70" t="n"/>
      <c r="G57" s="76" t="n"/>
      <c r="H57" s="77" t="n"/>
      <c r="I57" s="77" t="n"/>
      <c r="J57" s="77" t="n"/>
      <c r="K57" s="77" t="n"/>
      <c r="L57" s="87" t="n"/>
      <c r="M57" s="90">
        <f>SUM(H57:L57)</f>
        <v/>
      </c>
      <c r="N57" s="76" t="n"/>
      <c r="O57" s="77" t="n"/>
      <c r="P57" s="77" t="n"/>
      <c r="Q57" s="77" t="n"/>
      <c r="R57" s="77" t="n"/>
      <c r="S57" s="87" t="n"/>
      <c r="T57" s="90">
        <f>SUM(O57:S57)</f>
        <v/>
      </c>
      <c r="U57" s="76" t="n"/>
      <c r="V57" s="77" t="n"/>
      <c r="W57" s="77" t="n"/>
      <c r="X57" s="77" t="n"/>
      <c r="Y57" s="77" t="n"/>
      <c r="Z57" s="99" t="n"/>
      <c r="AA57" s="90">
        <f>SUM(V57:Z57)</f>
        <v/>
      </c>
      <c r="AB57" s="100">
        <f>H57+O57+V57</f>
        <v/>
      </c>
      <c r="AC57" s="62">
        <f>I57+P57+W57</f>
        <v/>
      </c>
      <c r="AD57" s="62">
        <f>J57+Q57+X57</f>
        <v/>
      </c>
      <c r="AE57" s="62">
        <f>K57+R57+Y57</f>
        <v/>
      </c>
      <c r="AF57" s="62">
        <f>L57+S57+Z57</f>
        <v/>
      </c>
      <c r="AG57" s="15">
        <f>M57+T57+AA57</f>
        <v/>
      </c>
      <c r="AH57" s="62">
        <f>G57+N57+U57</f>
        <v/>
      </c>
      <c r="AI57" s="63">
        <f>AG57-AH57</f>
        <v/>
      </c>
      <c r="AJ57" s="68" t="n"/>
    </row>
    <row r="58">
      <c r="A58" s="35">
        <f>EXPENSES!L56</f>
        <v/>
      </c>
      <c r="B58" s="36">
        <f>EXPENSES!B56</f>
        <v/>
      </c>
      <c r="C58" s="37">
        <f>EXPENSES!E56</f>
        <v/>
      </c>
      <c r="D58" s="37">
        <f>EXPENSES!I56</f>
        <v/>
      </c>
      <c r="E58" s="37">
        <f>C58+D58</f>
        <v/>
      </c>
      <c r="F58" s="70" t="n"/>
      <c r="G58" s="76" t="n"/>
      <c r="H58" s="77" t="n"/>
      <c r="I58" s="77" t="n"/>
      <c r="J58" s="77" t="n"/>
      <c r="K58" s="77" t="n"/>
      <c r="L58" s="87" t="n"/>
      <c r="M58" s="90">
        <f>SUM(H58:L58)</f>
        <v/>
      </c>
      <c r="N58" s="76" t="n"/>
      <c r="O58" s="77" t="n"/>
      <c r="P58" s="77" t="n"/>
      <c r="Q58" s="77" t="n"/>
      <c r="R58" s="77" t="n"/>
      <c r="S58" s="87" t="n"/>
      <c r="T58" s="90">
        <f>SUM(O58:S58)</f>
        <v/>
      </c>
      <c r="U58" s="76" t="n"/>
      <c r="V58" s="77" t="n"/>
      <c r="W58" s="77" t="n"/>
      <c r="X58" s="77" t="n"/>
      <c r="Y58" s="77" t="n"/>
      <c r="Z58" s="99" t="n"/>
      <c r="AA58" s="90">
        <f>SUM(V58:Z58)</f>
        <v/>
      </c>
      <c r="AB58" s="100">
        <f>H58+O58+V58</f>
        <v/>
      </c>
      <c r="AC58" s="62">
        <f>I58+P58+W58</f>
        <v/>
      </c>
      <c r="AD58" s="62">
        <f>J58+Q58+X58</f>
        <v/>
      </c>
      <c r="AE58" s="62">
        <f>K58+R58+Y58</f>
        <v/>
      </c>
      <c r="AF58" s="62">
        <f>L58+S58+Z58</f>
        <v/>
      </c>
      <c r="AG58" s="15">
        <f>M58+T58+AA58</f>
        <v/>
      </c>
      <c r="AH58" s="62">
        <f>G58+N58+U58</f>
        <v/>
      </c>
      <c r="AI58" s="63">
        <f>AG58-AH58</f>
        <v/>
      </c>
      <c r="AJ58" s="68" t="n"/>
    </row>
    <row r="59">
      <c r="A59" s="35">
        <f>EXPENSES!L57</f>
        <v/>
      </c>
      <c r="B59" s="36">
        <f>EXPENSES!B57</f>
        <v/>
      </c>
      <c r="C59" s="37">
        <f>EXPENSES!E57</f>
        <v/>
      </c>
      <c r="D59" s="37">
        <f>EXPENSES!I57</f>
        <v/>
      </c>
      <c r="E59" s="37">
        <f>C59+D59</f>
        <v/>
      </c>
      <c r="F59" s="70" t="n"/>
      <c r="G59" s="76" t="n"/>
      <c r="H59" s="77" t="n"/>
      <c r="I59" s="77" t="n"/>
      <c r="J59" s="77" t="n"/>
      <c r="K59" s="77" t="n"/>
      <c r="L59" s="87" t="n"/>
      <c r="M59" s="90">
        <f>SUM(H59:L59)</f>
        <v/>
      </c>
      <c r="N59" s="76" t="n"/>
      <c r="O59" s="77" t="n"/>
      <c r="P59" s="77" t="n"/>
      <c r="Q59" s="77" t="n"/>
      <c r="R59" s="77" t="n"/>
      <c r="S59" s="87" t="n"/>
      <c r="T59" s="90">
        <f>SUM(O59:S59)</f>
        <v/>
      </c>
      <c r="U59" s="76" t="n"/>
      <c r="V59" s="77" t="n"/>
      <c r="W59" s="77" t="n"/>
      <c r="X59" s="77" t="n"/>
      <c r="Y59" s="77" t="n"/>
      <c r="Z59" s="99" t="n"/>
      <c r="AA59" s="90">
        <f>SUM(V59:Z59)</f>
        <v/>
      </c>
      <c r="AB59" s="100">
        <f>H59+O59+V59</f>
        <v/>
      </c>
      <c r="AC59" s="62">
        <f>I59+P59+W59</f>
        <v/>
      </c>
      <c r="AD59" s="62">
        <f>J59+Q59+X59</f>
        <v/>
      </c>
      <c r="AE59" s="62">
        <f>K59+R59+Y59</f>
        <v/>
      </c>
      <c r="AF59" s="62">
        <f>L59+S59+Z59</f>
        <v/>
      </c>
      <c r="AG59" s="15">
        <f>M59+T59+AA59</f>
        <v/>
      </c>
      <c r="AH59" s="62">
        <f>G59+N59+U59</f>
        <v/>
      </c>
      <c r="AI59" s="63">
        <f>AG59-AH59</f>
        <v/>
      </c>
      <c r="AJ59" s="68" t="n"/>
    </row>
    <row r="60">
      <c r="A60" s="35">
        <f>EXPENSES!L58</f>
        <v/>
      </c>
      <c r="B60" s="36">
        <f>EXPENSES!B58</f>
        <v/>
      </c>
      <c r="C60" s="37">
        <f>EXPENSES!E58</f>
        <v/>
      </c>
      <c r="D60" s="37">
        <f>EXPENSES!I58</f>
        <v/>
      </c>
      <c r="E60" s="37">
        <f>C60+D60</f>
        <v/>
      </c>
      <c r="F60" s="70" t="n"/>
      <c r="G60" s="76" t="n"/>
      <c r="H60" s="77" t="n"/>
      <c r="I60" s="77" t="n"/>
      <c r="J60" s="77" t="n"/>
      <c r="K60" s="77" t="n"/>
      <c r="L60" s="87" t="n"/>
      <c r="M60" s="90">
        <f>SUM(H60:L60)</f>
        <v/>
      </c>
      <c r="N60" s="76" t="n"/>
      <c r="O60" s="77" t="n"/>
      <c r="P60" s="77" t="n"/>
      <c r="Q60" s="77" t="n"/>
      <c r="R60" s="77" t="n"/>
      <c r="S60" s="87" t="n"/>
      <c r="T60" s="90">
        <f>SUM(O60:S60)</f>
        <v/>
      </c>
      <c r="U60" s="76" t="n"/>
      <c r="V60" s="77" t="n"/>
      <c r="W60" s="77" t="n"/>
      <c r="X60" s="77" t="n"/>
      <c r="Y60" s="77" t="n"/>
      <c r="Z60" s="99" t="n"/>
      <c r="AA60" s="90">
        <f>SUM(V60:Z60)</f>
        <v/>
      </c>
      <c r="AB60" s="100">
        <f>H60+O60+V60</f>
        <v/>
      </c>
      <c r="AC60" s="62">
        <f>I60+P60+W60</f>
        <v/>
      </c>
      <c r="AD60" s="62">
        <f>J60+Q60+X60</f>
        <v/>
      </c>
      <c r="AE60" s="62">
        <f>K60+R60+Y60</f>
        <v/>
      </c>
      <c r="AF60" s="62">
        <f>L60+S60+Z60</f>
        <v/>
      </c>
      <c r="AG60" s="15">
        <f>M60+T60+AA60</f>
        <v/>
      </c>
      <c r="AH60" s="62">
        <f>G60+N60+U60</f>
        <v/>
      </c>
      <c r="AI60" s="63">
        <f>AG60-AH60</f>
        <v/>
      </c>
      <c r="AJ60" s="68" t="n"/>
    </row>
    <row r="61">
      <c r="A61" s="35">
        <f>EXPENSES!L59</f>
        <v/>
      </c>
      <c r="B61" s="36">
        <f>EXPENSES!B59</f>
        <v/>
      </c>
      <c r="C61" s="37">
        <f>EXPENSES!E59</f>
        <v/>
      </c>
      <c r="D61" s="37">
        <f>EXPENSES!I59</f>
        <v/>
      </c>
      <c r="E61" s="37">
        <f>C61+D61</f>
        <v/>
      </c>
      <c r="F61" s="70" t="n"/>
      <c r="G61" s="76" t="n"/>
      <c r="H61" s="77" t="n"/>
      <c r="I61" s="77" t="n"/>
      <c r="J61" s="77" t="n"/>
      <c r="K61" s="77" t="n"/>
      <c r="L61" s="87" t="n"/>
      <c r="M61" s="90">
        <f>SUM(H61:L61)</f>
        <v/>
      </c>
      <c r="N61" s="76" t="n"/>
      <c r="O61" s="77" t="n"/>
      <c r="P61" s="77" t="n"/>
      <c r="Q61" s="77" t="n"/>
      <c r="R61" s="77" t="n"/>
      <c r="S61" s="87" t="n"/>
      <c r="T61" s="90">
        <f>SUM(O61:S61)</f>
        <v/>
      </c>
      <c r="U61" s="76" t="n"/>
      <c r="V61" s="77" t="n"/>
      <c r="W61" s="77" t="n"/>
      <c r="X61" s="77" t="n"/>
      <c r="Y61" s="77" t="n"/>
      <c r="Z61" s="99" t="n"/>
      <c r="AA61" s="90">
        <f>SUM(V61:Z61)</f>
        <v/>
      </c>
      <c r="AB61" s="100">
        <f>H61+O61+V61</f>
        <v/>
      </c>
      <c r="AC61" s="62">
        <f>I61+P61+W61</f>
        <v/>
      </c>
      <c r="AD61" s="62">
        <f>J61+Q61+X61</f>
        <v/>
      </c>
      <c r="AE61" s="62">
        <f>K61+R61+Y61</f>
        <v/>
      </c>
      <c r="AF61" s="62">
        <f>L61+S61+Z61</f>
        <v/>
      </c>
      <c r="AG61" s="15">
        <f>M61+T61+AA61</f>
        <v/>
      </c>
      <c r="AH61" s="62">
        <f>G61+N61+U61</f>
        <v/>
      </c>
      <c r="AI61" s="63">
        <f>AG61-AH61</f>
        <v/>
      </c>
      <c r="AJ61" s="68" t="n"/>
    </row>
    <row r="62">
      <c r="A62" s="35">
        <f>EXPENSES!L60</f>
        <v/>
      </c>
      <c r="B62" s="36">
        <f>EXPENSES!B60</f>
        <v/>
      </c>
      <c r="C62" s="37">
        <f>EXPENSES!E60</f>
        <v/>
      </c>
      <c r="D62" s="37">
        <f>EXPENSES!I60</f>
        <v/>
      </c>
      <c r="E62" s="37">
        <f>C62+D62</f>
        <v/>
      </c>
      <c r="F62" s="70" t="n"/>
      <c r="G62" s="76" t="n"/>
      <c r="H62" s="77" t="n"/>
      <c r="I62" s="77" t="n"/>
      <c r="J62" s="77" t="n"/>
      <c r="K62" s="77" t="n"/>
      <c r="L62" s="87" t="n"/>
      <c r="M62" s="90">
        <f>SUM(H62:L62)</f>
        <v/>
      </c>
      <c r="N62" s="76" t="n"/>
      <c r="O62" s="77" t="n"/>
      <c r="P62" s="77" t="n"/>
      <c r="Q62" s="77" t="n"/>
      <c r="R62" s="77" t="n"/>
      <c r="S62" s="87" t="n"/>
      <c r="T62" s="90">
        <f>SUM(O62:S62)</f>
        <v/>
      </c>
      <c r="U62" s="76" t="n"/>
      <c r="V62" s="77" t="n"/>
      <c r="W62" s="77" t="n"/>
      <c r="X62" s="77" t="n"/>
      <c r="Y62" s="77" t="n"/>
      <c r="Z62" s="99" t="n"/>
      <c r="AA62" s="90">
        <f>SUM(V62:Z62)</f>
        <v/>
      </c>
      <c r="AB62" s="100">
        <f>H62+O62+V62</f>
        <v/>
      </c>
      <c r="AC62" s="62">
        <f>I62+P62+W62</f>
        <v/>
      </c>
      <c r="AD62" s="62">
        <f>J62+Q62+X62</f>
        <v/>
      </c>
      <c r="AE62" s="62">
        <f>K62+R62+Y62</f>
        <v/>
      </c>
      <c r="AF62" s="62">
        <f>L62+S62+Z62</f>
        <v/>
      </c>
      <c r="AG62" s="15">
        <f>M62+T62+AA62</f>
        <v/>
      </c>
      <c r="AH62" s="62">
        <f>G62+N62+U62</f>
        <v/>
      </c>
      <c r="AI62" s="63">
        <f>AG62-AH62</f>
        <v/>
      </c>
      <c r="AJ62" s="68" t="n"/>
    </row>
    <row r="63">
      <c r="A63" s="24" t="n"/>
      <c r="B63" s="113" t="inlineStr">
        <is>
          <t>MEDICAL &amp; HEALTH</t>
        </is>
      </c>
      <c r="C63" s="24">
        <f>SUM(C64:C72)</f>
        <v/>
      </c>
      <c r="D63" s="24">
        <f>SUM(D64:D72)</f>
        <v/>
      </c>
      <c r="E63" s="24">
        <f>SUM(E64:E72)</f>
        <v/>
      </c>
      <c r="F63" s="69" t="n"/>
      <c r="G63" s="78">
        <f>SUM(G64:G72)</f>
        <v/>
      </c>
      <c r="H63" s="79">
        <f>SUM(H64:H72)</f>
        <v/>
      </c>
      <c r="I63" s="79">
        <f>SUM(I64:I72)</f>
        <v/>
      </c>
      <c r="J63" s="79">
        <f>SUM(J64:J72)</f>
        <v/>
      </c>
      <c r="K63" s="79">
        <f>SUM(K64:K72)</f>
        <v/>
      </c>
      <c r="L63" s="69">
        <f>SUM(L64:L72)</f>
        <v/>
      </c>
      <c r="M63" s="91">
        <f>SUM(M64:M72)</f>
        <v/>
      </c>
      <c r="N63" s="78">
        <f>SUM(N64:N72)</f>
        <v/>
      </c>
      <c r="O63" s="79">
        <f>SUM(O64:O72)</f>
        <v/>
      </c>
      <c r="P63" s="79">
        <f>SUM(P64:P72)</f>
        <v/>
      </c>
      <c r="Q63" s="79">
        <f>SUM(Q64:Q72)</f>
        <v/>
      </c>
      <c r="R63" s="79">
        <f>SUM(R64:R72)</f>
        <v/>
      </c>
      <c r="S63" s="69">
        <f>SUM(S64:S72)</f>
        <v/>
      </c>
      <c r="T63" s="91">
        <f>SUM(T64:T72)</f>
        <v/>
      </c>
      <c r="U63" s="78">
        <f>SUM(U64:U72)</f>
        <v/>
      </c>
      <c r="V63" s="79">
        <f>SUM(V64:V72)</f>
        <v/>
      </c>
      <c r="W63" s="79">
        <f>SUM(W64:W72)</f>
        <v/>
      </c>
      <c r="X63" s="79">
        <f>SUM(X64:X72)</f>
        <v/>
      </c>
      <c r="Y63" s="79">
        <f>SUM(Y64:Y72)</f>
        <v/>
      </c>
      <c r="Z63" s="80">
        <f>SUM(Z64:Z72)</f>
        <v/>
      </c>
      <c r="AA63" s="91">
        <f>SUM(AA64:AA72)</f>
        <v/>
      </c>
      <c r="AB63" s="71">
        <f>SUM(AB64:AB72)</f>
        <v/>
      </c>
      <c r="AC63" s="24">
        <f>SUM(AC64:AC72)</f>
        <v/>
      </c>
      <c r="AD63" s="24">
        <f>SUM(AD64:AD72)</f>
        <v/>
      </c>
      <c r="AE63" s="24">
        <f>SUM(AE64:AE72)</f>
        <v/>
      </c>
      <c r="AF63" s="24">
        <f>SUM(AF64:AF72)</f>
        <v/>
      </c>
      <c r="AG63" s="24">
        <f>SUM(AG64:AG72)</f>
        <v/>
      </c>
      <c r="AH63" s="24">
        <f>SUM(AH64:AH72)</f>
        <v/>
      </c>
      <c r="AI63" s="24">
        <f>SUM(AI64:AI72)</f>
        <v/>
      </c>
      <c r="AJ63" s="24" t="n"/>
    </row>
    <row r="64">
      <c r="A64" s="35">
        <f>EXPENSES!L62</f>
        <v/>
      </c>
      <c r="B64" s="36">
        <f>EXPENSES!B62</f>
        <v/>
      </c>
      <c r="C64" s="37">
        <f>EXPENSES!E62</f>
        <v/>
      </c>
      <c r="D64" s="37">
        <f>EXPENSES!I62</f>
        <v/>
      </c>
      <c r="E64" s="37">
        <f>C64+D64</f>
        <v/>
      </c>
      <c r="F64" s="70" t="n"/>
      <c r="G64" s="76" t="n"/>
      <c r="H64" s="77" t="n"/>
      <c r="I64" s="77" t="n"/>
      <c r="J64" s="77" t="n"/>
      <c r="K64" s="77" t="n"/>
      <c r="L64" s="87" t="n"/>
      <c r="M64" s="90">
        <f>SUM(H64:L64)</f>
        <v/>
      </c>
      <c r="N64" s="76" t="n"/>
      <c r="O64" s="77" t="n"/>
      <c r="P64" s="77" t="n"/>
      <c r="Q64" s="77" t="n"/>
      <c r="R64" s="77" t="n"/>
      <c r="S64" s="87" t="n"/>
      <c r="T64" s="90">
        <f>SUM(O64:S64)</f>
        <v/>
      </c>
      <c r="U64" s="76" t="n"/>
      <c r="V64" s="77" t="n"/>
      <c r="W64" s="77" t="n"/>
      <c r="X64" s="77" t="n"/>
      <c r="Y64" s="77" t="n"/>
      <c r="Z64" s="99" t="n"/>
      <c r="AA64" s="90">
        <f>SUM(V64:Z64)</f>
        <v/>
      </c>
      <c r="AB64" s="100">
        <f>H64+O64+V64</f>
        <v/>
      </c>
      <c r="AC64" s="62">
        <f>I64+P64+W64</f>
        <v/>
      </c>
      <c r="AD64" s="62">
        <f>J64+Q64+X64</f>
        <v/>
      </c>
      <c r="AE64" s="62">
        <f>K64+R64+Y64</f>
        <v/>
      </c>
      <c r="AF64" s="62">
        <f>L64+S64+Z64</f>
        <v/>
      </c>
      <c r="AG64" s="15">
        <f>M64+T64+AA64</f>
        <v/>
      </c>
      <c r="AH64" s="62">
        <f>G64+N64+U64</f>
        <v/>
      </c>
      <c r="AI64" s="63">
        <f>AG64-AH64</f>
        <v/>
      </c>
      <c r="AJ64" s="68" t="n"/>
    </row>
    <row r="65">
      <c r="A65" s="35">
        <f>EXPENSES!L63</f>
        <v/>
      </c>
      <c r="B65" s="36">
        <f>EXPENSES!B63</f>
        <v/>
      </c>
      <c r="C65" s="37">
        <f>EXPENSES!E63</f>
        <v/>
      </c>
      <c r="D65" s="37">
        <f>EXPENSES!I63</f>
        <v/>
      </c>
      <c r="E65" s="37">
        <f>C65+D65</f>
        <v/>
      </c>
      <c r="F65" s="70" t="n"/>
      <c r="G65" s="76" t="n"/>
      <c r="H65" s="77" t="n"/>
      <c r="I65" s="77" t="n"/>
      <c r="J65" s="77" t="n"/>
      <c r="K65" s="77" t="n"/>
      <c r="L65" s="87" t="n"/>
      <c r="M65" s="90">
        <f>SUM(H65:L65)</f>
        <v/>
      </c>
      <c r="N65" s="76" t="n"/>
      <c r="O65" s="77" t="n"/>
      <c r="P65" s="77" t="n"/>
      <c r="Q65" s="77" t="n"/>
      <c r="R65" s="77" t="n"/>
      <c r="S65" s="87" t="n"/>
      <c r="T65" s="90">
        <f>SUM(O65:S65)</f>
        <v/>
      </c>
      <c r="U65" s="76" t="n"/>
      <c r="V65" s="77" t="n"/>
      <c r="W65" s="77" t="n"/>
      <c r="X65" s="77" t="n"/>
      <c r="Y65" s="77" t="n"/>
      <c r="Z65" s="99" t="n"/>
      <c r="AA65" s="90">
        <f>SUM(V65:Z65)</f>
        <v/>
      </c>
      <c r="AB65" s="100">
        <f>H65+O65+V65</f>
        <v/>
      </c>
      <c r="AC65" s="62">
        <f>I65+P65+W65</f>
        <v/>
      </c>
      <c r="AD65" s="62">
        <f>J65+Q65+X65</f>
        <v/>
      </c>
      <c r="AE65" s="62">
        <f>K65+R65+Y65</f>
        <v/>
      </c>
      <c r="AF65" s="62">
        <f>L65+S65+Z65</f>
        <v/>
      </c>
      <c r="AG65" s="15">
        <f>M65+T65+AA65</f>
        <v/>
      </c>
      <c r="AH65" s="62">
        <f>G65+N65+U65</f>
        <v/>
      </c>
      <c r="AI65" s="63">
        <f>AG65-AH65</f>
        <v/>
      </c>
      <c r="AJ65" s="68" t="n"/>
    </row>
    <row r="66">
      <c r="A66" s="35">
        <f>EXPENSES!L64</f>
        <v/>
      </c>
      <c r="B66" s="36">
        <f>EXPENSES!B64</f>
        <v/>
      </c>
      <c r="C66" s="37">
        <f>EXPENSES!E64</f>
        <v/>
      </c>
      <c r="D66" s="37">
        <f>EXPENSES!I64</f>
        <v/>
      </c>
      <c r="E66" s="37">
        <f>C66+D66</f>
        <v/>
      </c>
      <c r="F66" s="70" t="n"/>
      <c r="G66" s="76" t="n"/>
      <c r="H66" s="77" t="n"/>
      <c r="I66" s="77" t="n"/>
      <c r="J66" s="77" t="n"/>
      <c r="K66" s="77" t="n"/>
      <c r="L66" s="87" t="n"/>
      <c r="M66" s="90">
        <f>SUM(H66:L66)</f>
        <v/>
      </c>
      <c r="N66" s="76" t="n"/>
      <c r="O66" s="77" t="n"/>
      <c r="P66" s="77" t="n"/>
      <c r="Q66" s="77" t="n"/>
      <c r="R66" s="77" t="n"/>
      <c r="S66" s="87" t="n"/>
      <c r="T66" s="90">
        <f>SUM(O66:S66)</f>
        <v/>
      </c>
      <c r="U66" s="76" t="n"/>
      <c r="V66" s="77" t="n"/>
      <c r="W66" s="77" t="n"/>
      <c r="X66" s="77" t="n"/>
      <c r="Y66" s="77" t="n"/>
      <c r="Z66" s="99" t="n"/>
      <c r="AA66" s="90">
        <f>SUM(V66:Z66)</f>
        <v/>
      </c>
      <c r="AB66" s="100">
        <f>H66+O66+V66</f>
        <v/>
      </c>
      <c r="AC66" s="62">
        <f>I66+P66+W66</f>
        <v/>
      </c>
      <c r="AD66" s="62">
        <f>J66+Q66+X66</f>
        <v/>
      </c>
      <c r="AE66" s="62">
        <f>K66+R66+Y66</f>
        <v/>
      </c>
      <c r="AF66" s="62">
        <f>L66+S66+Z66</f>
        <v/>
      </c>
      <c r="AG66" s="15">
        <f>M66+T66+AA66</f>
        <v/>
      </c>
      <c r="AH66" s="62">
        <f>G66+N66+U66</f>
        <v/>
      </c>
      <c r="AI66" s="63">
        <f>AG66-AH66</f>
        <v/>
      </c>
      <c r="AJ66" s="68" t="n"/>
    </row>
    <row r="67">
      <c r="A67" s="35">
        <f>EXPENSES!L65</f>
        <v/>
      </c>
      <c r="B67" s="36">
        <f>EXPENSES!B65</f>
        <v/>
      </c>
      <c r="C67" s="37">
        <f>EXPENSES!E65</f>
        <v/>
      </c>
      <c r="D67" s="37">
        <f>EXPENSES!I65</f>
        <v/>
      </c>
      <c r="E67" s="37">
        <f>C67+D67</f>
        <v/>
      </c>
      <c r="F67" s="70" t="n"/>
      <c r="G67" s="76" t="n"/>
      <c r="H67" s="77" t="n"/>
      <c r="I67" s="77" t="n"/>
      <c r="J67" s="77" t="n"/>
      <c r="K67" s="77" t="n"/>
      <c r="L67" s="87" t="n"/>
      <c r="M67" s="90">
        <f>SUM(H67:L67)</f>
        <v/>
      </c>
      <c r="N67" s="76" t="n"/>
      <c r="O67" s="77" t="n"/>
      <c r="P67" s="77" t="n"/>
      <c r="Q67" s="77" t="n"/>
      <c r="R67" s="77" t="n"/>
      <c r="S67" s="87" t="n"/>
      <c r="T67" s="90">
        <f>SUM(O67:S67)</f>
        <v/>
      </c>
      <c r="U67" s="76" t="n"/>
      <c r="V67" s="77" t="n"/>
      <c r="W67" s="77" t="n"/>
      <c r="X67" s="77" t="n"/>
      <c r="Y67" s="77" t="n"/>
      <c r="Z67" s="99" t="n"/>
      <c r="AA67" s="90">
        <f>SUM(V67:Z67)</f>
        <v/>
      </c>
      <c r="AB67" s="100">
        <f>H67+O67+V67</f>
        <v/>
      </c>
      <c r="AC67" s="62">
        <f>I67+P67+W67</f>
        <v/>
      </c>
      <c r="AD67" s="62">
        <f>J67+Q67+X67</f>
        <v/>
      </c>
      <c r="AE67" s="62">
        <f>K67+R67+Y67</f>
        <v/>
      </c>
      <c r="AF67" s="62">
        <f>L67+S67+Z67</f>
        <v/>
      </c>
      <c r="AG67" s="15">
        <f>M67+T67+AA67</f>
        <v/>
      </c>
      <c r="AH67" s="62">
        <f>G67+N67+U67</f>
        <v/>
      </c>
      <c r="AI67" s="63">
        <f>AG67-AH67</f>
        <v/>
      </c>
      <c r="AJ67" s="68" t="n"/>
    </row>
    <row r="68">
      <c r="A68" s="35">
        <f>EXPENSES!L66</f>
        <v/>
      </c>
      <c r="B68" s="36">
        <f>EXPENSES!B66</f>
        <v/>
      </c>
      <c r="C68" s="37">
        <f>EXPENSES!E66</f>
        <v/>
      </c>
      <c r="D68" s="37">
        <f>EXPENSES!I66</f>
        <v/>
      </c>
      <c r="E68" s="37">
        <f>C68+D68</f>
        <v/>
      </c>
      <c r="F68" s="70" t="n"/>
      <c r="G68" s="76" t="n"/>
      <c r="H68" s="77" t="n"/>
      <c r="I68" s="77" t="n"/>
      <c r="J68" s="77" t="n"/>
      <c r="K68" s="77" t="n"/>
      <c r="L68" s="87" t="n"/>
      <c r="M68" s="90">
        <f>SUM(H68:L68)</f>
        <v/>
      </c>
      <c r="N68" s="76" t="n"/>
      <c r="O68" s="77" t="n"/>
      <c r="P68" s="77" t="n"/>
      <c r="Q68" s="77" t="n"/>
      <c r="R68" s="77" t="n"/>
      <c r="S68" s="87" t="n"/>
      <c r="T68" s="90">
        <f>SUM(O68:S68)</f>
        <v/>
      </c>
      <c r="U68" s="76" t="n"/>
      <c r="V68" s="77" t="n"/>
      <c r="W68" s="77" t="n"/>
      <c r="X68" s="77" t="n"/>
      <c r="Y68" s="77" t="n"/>
      <c r="Z68" s="99" t="n"/>
      <c r="AA68" s="90">
        <f>SUM(V68:Z68)</f>
        <v/>
      </c>
      <c r="AB68" s="100">
        <f>H68+O68+V68</f>
        <v/>
      </c>
      <c r="AC68" s="62">
        <f>I68+P68+W68</f>
        <v/>
      </c>
      <c r="AD68" s="62">
        <f>J68+Q68+X68</f>
        <v/>
      </c>
      <c r="AE68" s="62">
        <f>K68+R68+Y68</f>
        <v/>
      </c>
      <c r="AF68" s="62">
        <f>L68+S68+Z68</f>
        <v/>
      </c>
      <c r="AG68" s="15">
        <f>M68+T68+AA68</f>
        <v/>
      </c>
      <c r="AH68" s="62">
        <f>G68+N68+U68</f>
        <v/>
      </c>
      <c r="AI68" s="63">
        <f>AG68-AH68</f>
        <v/>
      </c>
      <c r="AJ68" s="68" t="n"/>
    </row>
    <row r="69">
      <c r="A69" s="35">
        <f>EXPENSES!L67</f>
        <v/>
      </c>
      <c r="B69" s="36">
        <f>EXPENSES!B67</f>
        <v/>
      </c>
      <c r="C69" s="37">
        <f>EXPENSES!E67</f>
        <v/>
      </c>
      <c r="D69" s="37">
        <f>EXPENSES!I67</f>
        <v/>
      </c>
      <c r="E69" s="37">
        <f>C69+D69</f>
        <v/>
      </c>
      <c r="F69" s="70" t="n"/>
      <c r="G69" s="76" t="n"/>
      <c r="H69" s="77" t="n"/>
      <c r="I69" s="77" t="n"/>
      <c r="J69" s="77" t="n"/>
      <c r="K69" s="77" t="n"/>
      <c r="L69" s="87" t="n"/>
      <c r="M69" s="90">
        <f>SUM(H69:L69)</f>
        <v/>
      </c>
      <c r="N69" s="76" t="n"/>
      <c r="O69" s="77" t="n"/>
      <c r="P69" s="77" t="n"/>
      <c r="Q69" s="77" t="n"/>
      <c r="R69" s="77" t="n"/>
      <c r="S69" s="87" t="n"/>
      <c r="T69" s="90">
        <f>SUM(O69:S69)</f>
        <v/>
      </c>
      <c r="U69" s="76" t="n"/>
      <c r="V69" s="77" t="n"/>
      <c r="W69" s="77" t="n"/>
      <c r="X69" s="77" t="n"/>
      <c r="Y69" s="77" t="n"/>
      <c r="Z69" s="99" t="n"/>
      <c r="AA69" s="90">
        <f>SUM(V69:Z69)</f>
        <v/>
      </c>
      <c r="AB69" s="100">
        <f>H69+O69+V69</f>
        <v/>
      </c>
      <c r="AC69" s="62">
        <f>I69+P69+W69</f>
        <v/>
      </c>
      <c r="AD69" s="62">
        <f>J69+Q69+X69</f>
        <v/>
      </c>
      <c r="AE69" s="62">
        <f>K69+R69+Y69</f>
        <v/>
      </c>
      <c r="AF69" s="62">
        <f>L69+S69+Z69</f>
        <v/>
      </c>
      <c r="AG69" s="15">
        <f>M69+T69+AA69</f>
        <v/>
      </c>
      <c r="AH69" s="62">
        <f>G69+N69+U69</f>
        <v/>
      </c>
      <c r="AI69" s="63">
        <f>AG69-AH69</f>
        <v/>
      </c>
      <c r="AJ69" s="68" t="n"/>
    </row>
    <row r="70">
      <c r="A70" s="35">
        <f>EXPENSES!L68</f>
        <v/>
      </c>
      <c r="B70" s="36">
        <f>EXPENSES!B68</f>
        <v/>
      </c>
      <c r="C70" s="37">
        <f>EXPENSES!E68</f>
        <v/>
      </c>
      <c r="D70" s="37">
        <f>EXPENSES!I68</f>
        <v/>
      </c>
      <c r="E70" s="37">
        <f>C70+D70</f>
        <v/>
      </c>
      <c r="F70" s="70" t="n"/>
      <c r="G70" s="76" t="n"/>
      <c r="H70" s="77" t="n"/>
      <c r="I70" s="77" t="n"/>
      <c r="J70" s="77" t="n"/>
      <c r="K70" s="77" t="n"/>
      <c r="L70" s="87" t="n"/>
      <c r="M70" s="90">
        <f>SUM(H70:L70)</f>
        <v/>
      </c>
      <c r="N70" s="76" t="n"/>
      <c r="O70" s="77" t="n"/>
      <c r="P70" s="77" t="n"/>
      <c r="Q70" s="77" t="n"/>
      <c r="R70" s="77" t="n"/>
      <c r="S70" s="87" t="n"/>
      <c r="T70" s="90">
        <f>SUM(O70:S70)</f>
        <v/>
      </c>
      <c r="U70" s="76" t="n"/>
      <c r="V70" s="77" t="n"/>
      <c r="W70" s="77" t="n"/>
      <c r="X70" s="77" t="n"/>
      <c r="Y70" s="77" t="n"/>
      <c r="Z70" s="99" t="n"/>
      <c r="AA70" s="90">
        <f>SUM(V70:Z70)</f>
        <v/>
      </c>
      <c r="AB70" s="100">
        <f>H70+O70+V70</f>
        <v/>
      </c>
      <c r="AC70" s="62">
        <f>I70+P70+W70</f>
        <v/>
      </c>
      <c r="AD70" s="62">
        <f>J70+Q70+X70</f>
        <v/>
      </c>
      <c r="AE70" s="62">
        <f>K70+R70+Y70</f>
        <v/>
      </c>
      <c r="AF70" s="62">
        <f>L70+S70+Z70</f>
        <v/>
      </c>
      <c r="AG70" s="15">
        <f>M70+T70+AA70</f>
        <v/>
      </c>
      <c r="AH70" s="62">
        <f>G70+N70+U70</f>
        <v/>
      </c>
      <c r="AI70" s="63">
        <f>AG70-AH70</f>
        <v/>
      </c>
      <c r="AJ70" s="68" t="n"/>
    </row>
    <row r="71">
      <c r="A71" s="35">
        <f>EXPENSES!L69</f>
        <v/>
      </c>
      <c r="B71" s="36">
        <f>EXPENSES!B69</f>
        <v/>
      </c>
      <c r="C71" s="37">
        <f>EXPENSES!E69</f>
        <v/>
      </c>
      <c r="D71" s="37">
        <f>EXPENSES!I69</f>
        <v/>
      </c>
      <c r="E71" s="37">
        <f>C71+D71</f>
        <v/>
      </c>
      <c r="F71" s="70" t="n"/>
      <c r="G71" s="76" t="n"/>
      <c r="H71" s="77" t="n"/>
      <c r="I71" s="77" t="n"/>
      <c r="J71" s="77" t="n"/>
      <c r="K71" s="77" t="n"/>
      <c r="L71" s="87" t="n"/>
      <c r="M71" s="90">
        <f>SUM(H71:L71)</f>
        <v/>
      </c>
      <c r="N71" s="76" t="n"/>
      <c r="O71" s="77" t="n"/>
      <c r="P71" s="77" t="n"/>
      <c r="Q71" s="77" t="n"/>
      <c r="R71" s="77" t="n"/>
      <c r="S71" s="87" t="n"/>
      <c r="T71" s="90">
        <f>SUM(O71:S71)</f>
        <v/>
      </c>
      <c r="U71" s="76" t="n"/>
      <c r="V71" s="77" t="n"/>
      <c r="W71" s="77" t="n"/>
      <c r="X71" s="77" t="n"/>
      <c r="Y71" s="77" t="n"/>
      <c r="Z71" s="99" t="n"/>
      <c r="AA71" s="90">
        <f>SUM(V71:Z71)</f>
        <v/>
      </c>
      <c r="AB71" s="100">
        <f>H71+O71+V71</f>
        <v/>
      </c>
      <c r="AC71" s="62">
        <f>I71+P71+W71</f>
        <v/>
      </c>
      <c r="AD71" s="62">
        <f>J71+Q71+X71</f>
        <v/>
      </c>
      <c r="AE71" s="62">
        <f>K71+R71+Y71</f>
        <v/>
      </c>
      <c r="AF71" s="62">
        <f>L71+S71+Z71</f>
        <v/>
      </c>
      <c r="AG71" s="15">
        <f>M71+T71+AA71</f>
        <v/>
      </c>
      <c r="AH71" s="62">
        <f>G71+N71+U71</f>
        <v/>
      </c>
      <c r="AI71" s="63">
        <f>AG71-AH71</f>
        <v/>
      </c>
      <c r="AJ71" s="68" t="n"/>
    </row>
    <row r="72">
      <c r="A72" s="35">
        <f>EXPENSES!L70</f>
        <v/>
      </c>
      <c r="B72" s="36">
        <f>EXPENSES!B70</f>
        <v/>
      </c>
      <c r="C72" s="37">
        <f>EXPENSES!E70</f>
        <v/>
      </c>
      <c r="D72" s="37">
        <f>EXPENSES!I70</f>
        <v/>
      </c>
      <c r="E72" s="37">
        <f>C72+D72</f>
        <v/>
      </c>
      <c r="F72" s="70" t="n"/>
      <c r="G72" s="76" t="n"/>
      <c r="H72" s="77" t="n"/>
      <c r="I72" s="77" t="n"/>
      <c r="J72" s="77" t="n"/>
      <c r="K72" s="77" t="n"/>
      <c r="L72" s="87" t="n"/>
      <c r="M72" s="90">
        <f>SUM(H72:L72)</f>
        <v/>
      </c>
      <c r="N72" s="76" t="n"/>
      <c r="O72" s="77" t="n"/>
      <c r="P72" s="77" t="n"/>
      <c r="Q72" s="77" t="n"/>
      <c r="R72" s="77" t="n"/>
      <c r="S72" s="87" t="n"/>
      <c r="T72" s="90">
        <f>SUM(O72:S72)</f>
        <v/>
      </c>
      <c r="U72" s="76" t="n"/>
      <c r="V72" s="77" t="n"/>
      <c r="W72" s="77" t="n"/>
      <c r="X72" s="77" t="n"/>
      <c r="Y72" s="77" t="n"/>
      <c r="Z72" s="99" t="n"/>
      <c r="AA72" s="90">
        <f>SUM(V72:Z72)</f>
        <v/>
      </c>
      <c r="AB72" s="100">
        <f>H72+O72+V72</f>
        <v/>
      </c>
      <c r="AC72" s="62">
        <f>I72+P72+W72</f>
        <v/>
      </c>
      <c r="AD72" s="62">
        <f>J72+Q72+X72</f>
        <v/>
      </c>
      <c r="AE72" s="62">
        <f>K72+R72+Y72</f>
        <v/>
      </c>
      <c r="AF72" s="62">
        <f>L72+S72+Z72</f>
        <v/>
      </c>
      <c r="AG72" s="15">
        <f>M72+T72+AA72</f>
        <v/>
      </c>
      <c r="AH72" s="62">
        <f>G72+N72+U72</f>
        <v/>
      </c>
      <c r="AI72" s="63">
        <f>AG72-AH72</f>
        <v/>
      </c>
      <c r="AJ72" s="68" t="n"/>
    </row>
    <row r="73">
      <c r="A73" s="24" t="n"/>
      <c r="B73" s="113" t="inlineStr">
        <is>
          <t>CHILDCARE &amp; DEPENDENTS</t>
        </is>
      </c>
      <c r="C73" s="24">
        <f>SUM(C74:C80)</f>
        <v/>
      </c>
      <c r="D73" s="24">
        <f>SUM(D74:D80)</f>
        <v/>
      </c>
      <c r="E73" s="24">
        <f>SUM(E74:E80)</f>
        <v/>
      </c>
      <c r="F73" s="69" t="n"/>
      <c r="G73" s="78">
        <f>SUM(G74:G80)</f>
        <v/>
      </c>
      <c r="H73" s="79">
        <f>SUM(H74:H80)</f>
        <v/>
      </c>
      <c r="I73" s="79">
        <f>SUM(I74:I80)</f>
        <v/>
      </c>
      <c r="J73" s="79">
        <f>SUM(J74:J80)</f>
        <v/>
      </c>
      <c r="K73" s="79">
        <f>SUM(K74:K80)</f>
        <v/>
      </c>
      <c r="L73" s="69">
        <f>SUM(L74:L80)</f>
        <v/>
      </c>
      <c r="M73" s="91">
        <f>SUM(M74:M80)</f>
        <v/>
      </c>
      <c r="N73" s="78">
        <f>SUM(N74:N80)</f>
        <v/>
      </c>
      <c r="O73" s="79">
        <f>SUM(O74:O80)</f>
        <v/>
      </c>
      <c r="P73" s="79">
        <f>SUM(P74:P80)</f>
        <v/>
      </c>
      <c r="Q73" s="79">
        <f>SUM(Q74:Q80)</f>
        <v/>
      </c>
      <c r="R73" s="79">
        <f>SUM(R74:R80)</f>
        <v/>
      </c>
      <c r="S73" s="69">
        <f>SUM(S74:S80)</f>
        <v/>
      </c>
      <c r="T73" s="91">
        <f>SUM(T74:T80)</f>
        <v/>
      </c>
      <c r="U73" s="78">
        <f>SUM(U74:U80)</f>
        <v/>
      </c>
      <c r="V73" s="79">
        <f>SUM(V74:V80)</f>
        <v/>
      </c>
      <c r="W73" s="79">
        <f>SUM(W74:W80)</f>
        <v/>
      </c>
      <c r="X73" s="79">
        <f>SUM(X74:X80)</f>
        <v/>
      </c>
      <c r="Y73" s="79">
        <f>SUM(Y74:Y80)</f>
        <v/>
      </c>
      <c r="Z73" s="80">
        <f>SUM(Z74:Z80)</f>
        <v/>
      </c>
      <c r="AA73" s="91">
        <f>SUM(AA74:AA80)</f>
        <v/>
      </c>
      <c r="AB73" s="71">
        <f>SUM(AB74:AB80)</f>
        <v/>
      </c>
      <c r="AC73" s="24">
        <f>SUM(AC74:AC80)</f>
        <v/>
      </c>
      <c r="AD73" s="24">
        <f>SUM(AD74:AD80)</f>
        <v/>
      </c>
      <c r="AE73" s="24">
        <f>SUM(AE74:AE80)</f>
        <v/>
      </c>
      <c r="AF73" s="24">
        <f>SUM(AF74:AF80)</f>
        <v/>
      </c>
      <c r="AG73" s="24">
        <f>SUM(AG74:AG80)</f>
        <v/>
      </c>
      <c r="AH73" s="24">
        <f>SUM(AH74:AH80)</f>
        <v/>
      </c>
      <c r="AI73" s="24">
        <f>SUM(AI74:AI80)</f>
        <v/>
      </c>
      <c r="AJ73" s="24" t="n"/>
    </row>
    <row r="74">
      <c r="A74" s="35">
        <f>EXPENSES!L72</f>
        <v/>
      </c>
      <c r="B74" s="36">
        <f>EXPENSES!B72</f>
        <v/>
      </c>
      <c r="C74" s="37">
        <f>EXPENSES!E72</f>
        <v/>
      </c>
      <c r="D74" s="37">
        <f>EXPENSES!I72</f>
        <v/>
      </c>
      <c r="E74" s="37">
        <f>C74+D74</f>
        <v/>
      </c>
      <c r="F74" s="70" t="n"/>
      <c r="G74" s="76" t="n"/>
      <c r="H74" s="77" t="n"/>
      <c r="I74" s="77" t="n"/>
      <c r="J74" s="77" t="n"/>
      <c r="K74" s="77" t="n"/>
      <c r="L74" s="87" t="n"/>
      <c r="M74" s="90">
        <f>SUM(H74:L74)</f>
        <v/>
      </c>
      <c r="N74" s="76" t="n"/>
      <c r="O74" s="77" t="n"/>
      <c r="P74" s="77" t="n"/>
      <c r="Q74" s="77" t="n"/>
      <c r="R74" s="77" t="n"/>
      <c r="S74" s="87" t="n"/>
      <c r="T74" s="90">
        <f>SUM(O74:S74)</f>
        <v/>
      </c>
      <c r="U74" s="76" t="n"/>
      <c r="V74" s="77" t="n"/>
      <c r="W74" s="77" t="n"/>
      <c r="X74" s="77" t="n"/>
      <c r="Y74" s="77" t="n"/>
      <c r="Z74" s="99" t="n"/>
      <c r="AA74" s="90">
        <f>SUM(V74:Z74)</f>
        <v/>
      </c>
      <c r="AB74" s="100">
        <f>H74+O74+V74</f>
        <v/>
      </c>
      <c r="AC74" s="62">
        <f>I74+P74+W74</f>
        <v/>
      </c>
      <c r="AD74" s="62">
        <f>J74+Q74+X74</f>
        <v/>
      </c>
      <c r="AE74" s="62">
        <f>K74+R74+Y74</f>
        <v/>
      </c>
      <c r="AF74" s="62">
        <f>L74+S74+Z74</f>
        <v/>
      </c>
      <c r="AG74" s="15">
        <f>M74+T74+AA74</f>
        <v/>
      </c>
      <c r="AH74" s="62">
        <f>G74+N74+U74</f>
        <v/>
      </c>
      <c r="AI74" s="63">
        <f>AG74-AH74</f>
        <v/>
      </c>
      <c r="AJ74" s="68" t="n"/>
    </row>
    <row r="75">
      <c r="A75" s="35">
        <f>EXPENSES!L73</f>
        <v/>
      </c>
      <c r="B75" s="36">
        <f>EXPENSES!B73</f>
        <v/>
      </c>
      <c r="C75" s="37">
        <f>EXPENSES!E73</f>
        <v/>
      </c>
      <c r="D75" s="37">
        <f>EXPENSES!I73</f>
        <v/>
      </c>
      <c r="E75" s="37">
        <f>C75+D75</f>
        <v/>
      </c>
      <c r="F75" s="70" t="n"/>
      <c r="G75" s="76" t="n"/>
      <c r="H75" s="77" t="n"/>
      <c r="I75" s="77" t="n"/>
      <c r="J75" s="77" t="n"/>
      <c r="K75" s="77" t="n"/>
      <c r="L75" s="87" t="n"/>
      <c r="M75" s="90">
        <f>SUM(H75:L75)</f>
        <v/>
      </c>
      <c r="N75" s="76" t="n"/>
      <c r="O75" s="77" t="n"/>
      <c r="P75" s="77" t="n"/>
      <c r="Q75" s="77" t="n"/>
      <c r="R75" s="77" t="n"/>
      <c r="S75" s="87" t="n"/>
      <c r="T75" s="90">
        <f>SUM(O75:S75)</f>
        <v/>
      </c>
      <c r="U75" s="76" t="n"/>
      <c r="V75" s="77" t="n"/>
      <c r="W75" s="77" t="n"/>
      <c r="X75" s="77" t="n"/>
      <c r="Y75" s="77" t="n"/>
      <c r="Z75" s="99" t="n"/>
      <c r="AA75" s="90">
        <f>SUM(V75:Z75)</f>
        <v/>
      </c>
      <c r="AB75" s="100">
        <f>H75+O75+V75</f>
        <v/>
      </c>
      <c r="AC75" s="62">
        <f>I75+P75+W75</f>
        <v/>
      </c>
      <c r="AD75" s="62">
        <f>J75+Q75+X75</f>
        <v/>
      </c>
      <c r="AE75" s="62">
        <f>K75+R75+Y75</f>
        <v/>
      </c>
      <c r="AF75" s="62">
        <f>L75+S75+Z75</f>
        <v/>
      </c>
      <c r="AG75" s="15">
        <f>M75+T75+AA75</f>
        <v/>
      </c>
      <c r="AH75" s="62">
        <f>G75+N75+U75</f>
        <v/>
      </c>
      <c r="AI75" s="63">
        <f>AG75-AH75</f>
        <v/>
      </c>
      <c r="AJ75" s="68" t="n"/>
    </row>
    <row r="76">
      <c r="A76" s="35">
        <f>EXPENSES!L74</f>
        <v/>
      </c>
      <c r="B76" s="36">
        <f>EXPENSES!B74</f>
        <v/>
      </c>
      <c r="C76" s="37">
        <f>EXPENSES!E74</f>
        <v/>
      </c>
      <c r="D76" s="37">
        <f>EXPENSES!I74</f>
        <v/>
      </c>
      <c r="E76" s="37">
        <f>C76+D76</f>
        <v/>
      </c>
      <c r="F76" s="70" t="n"/>
      <c r="G76" s="76" t="n"/>
      <c r="H76" s="77" t="n"/>
      <c r="I76" s="77" t="n"/>
      <c r="J76" s="77" t="n"/>
      <c r="K76" s="77" t="n"/>
      <c r="L76" s="87" t="n"/>
      <c r="M76" s="90">
        <f>SUM(H76:L76)</f>
        <v/>
      </c>
      <c r="N76" s="76" t="n"/>
      <c r="O76" s="77" t="n"/>
      <c r="P76" s="77" t="n"/>
      <c r="Q76" s="77" t="n"/>
      <c r="R76" s="77" t="n"/>
      <c r="S76" s="87" t="n"/>
      <c r="T76" s="90">
        <f>SUM(O76:S76)</f>
        <v/>
      </c>
      <c r="U76" s="76" t="n"/>
      <c r="V76" s="77" t="n"/>
      <c r="W76" s="77" t="n"/>
      <c r="X76" s="77" t="n"/>
      <c r="Y76" s="77" t="n"/>
      <c r="Z76" s="99" t="n"/>
      <c r="AA76" s="90">
        <f>SUM(V76:Z76)</f>
        <v/>
      </c>
      <c r="AB76" s="100">
        <f>H76+O76+V76</f>
        <v/>
      </c>
      <c r="AC76" s="62">
        <f>I76+P76+W76</f>
        <v/>
      </c>
      <c r="AD76" s="62">
        <f>J76+Q76+X76</f>
        <v/>
      </c>
      <c r="AE76" s="62">
        <f>K76+R76+Y76</f>
        <v/>
      </c>
      <c r="AF76" s="62">
        <f>L76+S76+Z76</f>
        <v/>
      </c>
      <c r="AG76" s="15">
        <f>M76+T76+AA76</f>
        <v/>
      </c>
      <c r="AH76" s="62">
        <f>G76+N76+U76</f>
        <v/>
      </c>
      <c r="AI76" s="63">
        <f>AG76-AH76</f>
        <v/>
      </c>
      <c r="AJ76" s="68" t="n"/>
    </row>
    <row r="77">
      <c r="A77" s="35">
        <f>EXPENSES!L75</f>
        <v/>
      </c>
      <c r="B77" s="36">
        <f>EXPENSES!B75</f>
        <v/>
      </c>
      <c r="C77" s="37">
        <f>EXPENSES!E75</f>
        <v/>
      </c>
      <c r="D77" s="37">
        <f>EXPENSES!I75</f>
        <v/>
      </c>
      <c r="E77" s="37">
        <f>C77+D77</f>
        <v/>
      </c>
      <c r="F77" s="70" t="n"/>
      <c r="G77" s="76" t="n"/>
      <c r="H77" s="77" t="n"/>
      <c r="I77" s="77" t="n"/>
      <c r="J77" s="77" t="n"/>
      <c r="K77" s="77" t="n"/>
      <c r="L77" s="87" t="n"/>
      <c r="M77" s="90">
        <f>SUM(H77:L77)</f>
        <v/>
      </c>
      <c r="N77" s="76" t="n"/>
      <c r="O77" s="77" t="n"/>
      <c r="P77" s="77" t="n"/>
      <c r="Q77" s="77" t="n"/>
      <c r="R77" s="77" t="n"/>
      <c r="S77" s="87" t="n"/>
      <c r="T77" s="90">
        <f>SUM(O77:S77)</f>
        <v/>
      </c>
      <c r="U77" s="76" t="n"/>
      <c r="V77" s="77" t="n"/>
      <c r="W77" s="77" t="n"/>
      <c r="X77" s="77" t="n"/>
      <c r="Y77" s="77" t="n"/>
      <c r="Z77" s="99" t="n"/>
      <c r="AA77" s="90">
        <f>SUM(V77:Z77)</f>
        <v/>
      </c>
      <c r="AB77" s="100">
        <f>H77+O77+V77</f>
        <v/>
      </c>
      <c r="AC77" s="62">
        <f>I77+P77+W77</f>
        <v/>
      </c>
      <c r="AD77" s="62">
        <f>J77+Q77+X77</f>
        <v/>
      </c>
      <c r="AE77" s="62">
        <f>K77+R77+Y77</f>
        <v/>
      </c>
      <c r="AF77" s="62">
        <f>L77+S77+Z77</f>
        <v/>
      </c>
      <c r="AG77" s="15">
        <f>M77+T77+AA77</f>
        <v/>
      </c>
      <c r="AH77" s="62">
        <f>G77+N77+U77</f>
        <v/>
      </c>
      <c r="AI77" s="63">
        <f>AG77-AH77</f>
        <v/>
      </c>
      <c r="AJ77" s="68" t="n"/>
    </row>
    <row r="78">
      <c r="A78" s="35">
        <f>EXPENSES!L76</f>
        <v/>
      </c>
      <c r="B78" s="36">
        <f>EXPENSES!B76</f>
        <v/>
      </c>
      <c r="C78" s="37">
        <f>EXPENSES!E76</f>
        <v/>
      </c>
      <c r="D78" s="37">
        <f>EXPENSES!I76</f>
        <v/>
      </c>
      <c r="E78" s="37">
        <f>C78+D78</f>
        <v/>
      </c>
      <c r="F78" s="70" t="n"/>
      <c r="G78" s="76" t="n"/>
      <c r="H78" s="77" t="n"/>
      <c r="I78" s="77" t="n"/>
      <c r="J78" s="77" t="n"/>
      <c r="K78" s="77" t="n"/>
      <c r="L78" s="87" t="n"/>
      <c r="M78" s="90">
        <f>SUM(H78:L78)</f>
        <v/>
      </c>
      <c r="N78" s="76" t="n"/>
      <c r="O78" s="77" t="n"/>
      <c r="P78" s="77" t="n"/>
      <c r="Q78" s="77" t="n"/>
      <c r="R78" s="77" t="n"/>
      <c r="S78" s="87" t="n"/>
      <c r="T78" s="90">
        <f>SUM(O78:S78)</f>
        <v/>
      </c>
      <c r="U78" s="76" t="n"/>
      <c r="V78" s="77" t="n"/>
      <c r="W78" s="77" t="n"/>
      <c r="X78" s="77" t="n"/>
      <c r="Y78" s="77" t="n"/>
      <c r="Z78" s="99" t="n"/>
      <c r="AA78" s="90">
        <f>SUM(V78:Z78)</f>
        <v/>
      </c>
      <c r="AB78" s="100">
        <f>H78+O78+V78</f>
        <v/>
      </c>
      <c r="AC78" s="62">
        <f>I78+P78+W78</f>
        <v/>
      </c>
      <c r="AD78" s="62">
        <f>J78+Q78+X78</f>
        <v/>
      </c>
      <c r="AE78" s="62">
        <f>K78+R78+Y78</f>
        <v/>
      </c>
      <c r="AF78" s="62">
        <f>L78+S78+Z78</f>
        <v/>
      </c>
      <c r="AG78" s="15">
        <f>M78+T78+AA78</f>
        <v/>
      </c>
      <c r="AH78" s="62">
        <f>G78+N78+U78</f>
        <v/>
      </c>
      <c r="AI78" s="63">
        <f>AG78-AH78</f>
        <v/>
      </c>
      <c r="AJ78" s="68" t="n"/>
    </row>
    <row r="79">
      <c r="A79" s="35">
        <f>EXPENSES!L77</f>
        <v/>
      </c>
      <c r="B79" s="36">
        <f>EXPENSES!B77</f>
        <v/>
      </c>
      <c r="C79" s="37">
        <f>EXPENSES!E77</f>
        <v/>
      </c>
      <c r="D79" s="37">
        <f>EXPENSES!I77</f>
        <v/>
      </c>
      <c r="E79" s="37">
        <f>C79+D79</f>
        <v/>
      </c>
      <c r="F79" s="70" t="n"/>
      <c r="G79" s="76" t="n"/>
      <c r="H79" s="77" t="n"/>
      <c r="I79" s="77" t="n"/>
      <c r="J79" s="77" t="n"/>
      <c r="K79" s="77" t="n"/>
      <c r="L79" s="87" t="n"/>
      <c r="M79" s="90">
        <f>SUM(H79:L79)</f>
        <v/>
      </c>
      <c r="N79" s="76" t="n"/>
      <c r="O79" s="77" t="n"/>
      <c r="P79" s="77" t="n"/>
      <c r="Q79" s="77" t="n"/>
      <c r="R79" s="77" t="n"/>
      <c r="S79" s="87" t="n"/>
      <c r="T79" s="90">
        <f>SUM(O79:S79)</f>
        <v/>
      </c>
      <c r="U79" s="76" t="n"/>
      <c r="V79" s="77" t="n"/>
      <c r="W79" s="77" t="n"/>
      <c r="X79" s="77" t="n"/>
      <c r="Y79" s="77" t="n"/>
      <c r="Z79" s="99" t="n"/>
      <c r="AA79" s="90">
        <f>SUM(V79:Z79)</f>
        <v/>
      </c>
      <c r="AB79" s="100">
        <f>H79+O79+V79</f>
        <v/>
      </c>
      <c r="AC79" s="62">
        <f>I79+P79+W79</f>
        <v/>
      </c>
      <c r="AD79" s="62">
        <f>J79+Q79+X79</f>
        <v/>
      </c>
      <c r="AE79" s="62">
        <f>K79+R79+Y79</f>
        <v/>
      </c>
      <c r="AF79" s="62">
        <f>L79+S79+Z79</f>
        <v/>
      </c>
      <c r="AG79" s="15">
        <f>M79+T79+AA79</f>
        <v/>
      </c>
      <c r="AH79" s="62">
        <f>G79+N79+U79</f>
        <v/>
      </c>
      <c r="AI79" s="63">
        <f>AG79-AH79</f>
        <v/>
      </c>
      <c r="AJ79" s="68" t="n"/>
    </row>
    <row r="80">
      <c r="A80" s="35">
        <f>EXPENSES!L78</f>
        <v/>
      </c>
      <c r="B80" s="36">
        <f>EXPENSES!B78</f>
        <v/>
      </c>
      <c r="C80" s="37">
        <f>EXPENSES!E78</f>
        <v/>
      </c>
      <c r="D80" s="37">
        <f>EXPENSES!I78</f>
        <v/>
      </c>
      <c r="E80" s="37">
        <f>C80+D80</f>
        <v/>
      </c>
      <c r="F80" s="70" t="n"/>
      <c r="G80" s="76" t="n"/>
      <c r="H80" s="77" t="n"/>
      <c r="I80" s="77" t="n"/>
      <c r="J80" s="77" t="n"/>
      <c r="K80" s="77" t="n"/>
      <c r="L80" s="87" t="n"/>
      <c r="M80" s="90">
        <f>SUM(H80:L80)</f>
        <v/>
      </c>
      <c r="N80" s="76" t="n"/>
      <c r="O80" s="77" t="n"/>
      <c r="P80" s="77" t="n"/>
      <c r="Q80" s="77" t="n"/>
      <c r="R80" s="77" t="n"/>
      <c r="S80" s="87" t="n"/>
      <c r="T80" s="90">
        <f>SUM(O80:S80)</f>
        <v/>
      </c>
      <c r="U80" s="76" t="n"/>
      <c r="V80" s="77" t="n"/>
      <c r="W80" s="77" t="n"/>
      <c r="X80" s="77" t="n"/>
      <c r="Y80" s="77" t="n"/>
      <c r="Z80" s="99" t="n"/>
      <c r="AA80" s="90">
        <f>SUM(V80:Z80)</f>
        <v/>
      </c>
      <c r="AB80" s="100">
        <f>H80+O80+V80</f>
        <v/>
      </c>
      <c r="AC80" s="62">
        <f>I80+P80+W80</f>
        <v/>
      </c>
      <c r="AD80" s="62">
        <f>J80+Q80+X80</f>
        <v/>
      </c>
      <c r="AE80" s="62">
        <f>K80+R80+Y80</f>
        <v/>
      </c>
      <c r="AF80" s="62">
        <f>L80+S80+Z80</f>
        <v/>
      </c>
      <c r="AG80" s="15">
        <f>M80+T80+AA80</f>
        <v/>
      </c>
      <c r="AH80" s="62">
        <f>G80+N80+U80</f>
        <v/>
      </c>
      <c r="AI80" s="63">
        <f>AG80-AH80</f>
        <v/>
      </c>
      <c r="AJ80" s="68" t="n"/>
    </row>
    <row r="81">
      <c r="A81" s="24" t="n"/>
      <c r="B81" s="113" t="inlineStr">
        <is>
          <t>EDUCATION</t>
        </is>
      </c>
      <c r="C81" s="24">
        <f>SUM(C82:C87)</f>
        <v/>
      </c>
      <c r="D81" s="24">
        <f>SUM(D82:D87)</f>
        <v/>
      </c>
      <c r="E81" s="24">
        <f>SUM(E82:E87)</f>
        <v/>
      </c>
      <c r="F81" s="69" t="n"/>
      <c r="G81" s="78">
        <f>SUM(G82:G87)</f>
        <v/>
      </c>
      <c r="H81" s="79">
        <f>SUM(H82:H87)</f>
        <v/>
      </c>
      <c r="I81" s="79">
        <f>SUM(I82:I87)</f>
        <v/>
      </c>
      <c r="J81" s="79">
        <f>SUM(J82:J87)</f>
        <v/>
      </c>
      <c r="K81" s="79">
        <f>SUM(K82:K87)</f>
        <v/>
      </c>
      <c r="L81" s="69">
        <f>SUM(L82:L87)</f>
        <v/>
      </c>
      <c r="M81" s="91">
        <f>SUM(M82:M87)</f>
        <v/>
      </c>
      <c r="N81" s="78">
        <f>SUM(N82:N87)</f>
        <v/>
      </c>
      <c r="O81" s="79">
        <f>SUM(O82:O87)</f>
        <v/>
      </c>
      <c r="P81" s="79">
        <f>SUM(P82:P87)</f>
        <v/>
      </c>
      <c r="Q81" s="79">
        <f>SUM(Q82:Q87)</f>
        <v/>
      </c>
      <c r="R81" s="79">
        <f>SUM(R82:R87)</f>
        <v/>
      </c>
      <c r="S81" s="69">
        <f>SUM(S82:S87)</f>
        <v/>
      </c>
      <c r="T81" s="91">
        <f>SUM(T82:T87)</f>
        <v/>
      </c>
      <c r="U81" s="78">
        <f>SUM(U82:U87)</f>
        <v/>
      </c>
      <c r="V81" s="79">
        <f>SUM(V82:V87)</f>
        <v/>
      </c>
      <c r="W81" s="79">
        <f>SUM(W82:W87)</f>
        <v/>
      </c>
      <c r="X81" s="79">
        <f>SUM(X82:X87)</f>
        <v/>
      </c>
      <c r="Y81" s="79">
        <f>SUM(Y82:Y87)</f>
        <v/>
      </c>
      <c r="Z81" s="80">
        <f>SUM(Z82:Z87)</f>
        <v/>
      </c>
      <c r="AA81" s="91">
        <f>SUM(AA82:AA87)</f>
        <v/>
      </c>
      <c r="AB81" s="71">
        <f>SUM(AB82:AB87)</f>
        <v/>
      </c>
      <c r="AC81" s="24">
        <f>SUM(AC82:AC87)</f>
        <v/>
      </c>
      <c r="AD81" s="24">
        <f>SUM(AD82:AD87)</f>
        <v/>
      </c>
      <c r="AE81" s="24">
        <f>SUM(AE82:AE87)</f>
        <v/>
      </c>
      <c r="AF81" s="24">
        <f>SUM(AF82:AF87)</f>
        <v/>
      </c>
      <c r="AG81" s="24">
        <f>SUM(AG82:AG87)</f>
        <v/>
      </c>
      <c r="AH81" s="24">
        <f>SUM(AH82:AH87)</f>
        <v/>
      </c>
      <c r="AI81" s="24">
        <f>SUM(AI82:AI87)</f>
        <v/>
      </c>
      <c r="AJ81" s="24" t="n"/>
    </row>
    <row r="82">
      <c r="A82" s="35">
        <f>EXPENSES!L80</f>
        <v/>
      </c>
      <c r="B82" s="36">
        <f>EXPENSES!B80</f>
        <v/>
      </c>
      <c r="C82" s="37">
        <f>EXPENSES!E80</f>
        <v/>
      </c>
      <c r="D82" s="37">
        <f>EXPENSES!I80</f>
        <v/>
      </c>
      <c r="E82" s="37">
        <f>C82+D82</f>
        <v/>
      </c>
      <c r="F82" s="70" t="n"/>
      <c r="G82" s="76" t="n"/>
      <c r="H82" s="77" t="n"/>
      <c r="I82" s="77" t="n"/>
      <c r="J82" s="77" t="n"/>
      <c r="K82" s="77" t="n"/>
      <c r="L82" s="87" t="n"/>
      <c r="M82" s="90">
        <f>SUM(H82:L82)</f>
        <v/>
      </c>
      <c r="N82" s="76" t="n"/>
      <c r="O82" s="77" t="n"/>
      <c r="P82" s="77" t="n"/>
      <c r="Q82" s="77" t="n"/>
      <c r="R82" s="77" t="n"/>
      <c r="S82" s="87" t="n"/>
      <c r="T82" s="90">
        <f>SUM(O82:S82)</f>
        <v/>
      </c>
      <c r="U82" s="76" t="n"/>
      <c r="V82" s="77" t="n"/>
      <c r="W82" s="77" t="n"/>
      <c r="X82" s="77" t="n"/>
      <c r="Y82" s="77" t="n"/>
      <c r="Z82" s="99" t="n"/>
      <c r="AA82" s="90">
        <f>SUM(V82:Z82)</f>
        <v/>
      </c>
      <c r="AB82" s="100">
        <f>H82+O82+V82</f>
        <v/>
      </c>
      <c r="AC82" s="62">
        <f>I82+P82+W82</f>
        <v/>
      </c>
      <c r="AD82" s="62">
        <f>J82+Q82+X82</f>
        <v/>
      </c>
      <c r="AE82" s="62">
        <f>K82+R82+Y82</f>
        <v/>
      </c>
      <c r="AF82" s="62">
        <f>L82+S82+Z82</f>
        <v/>
      </c>
      <c r="AG82" s="15">
        <f>M82+T82+AA82</f>
        <v/>
      </c>
      <c r="AH82" s="62">
        <f>G82+N82+U82</f>
        <v/>
      </c>
      <c r="AI82" s="63">
        <f>AG82-AH82</f>
        <v/>
      </c>
      <c r="AJ82" s="68" t="n"/>
    </row>
    <row r="83">
      <c r="A83" s="35">
        <f>EXPENSES!L81</f>
        <v/>
      </c>
      <c r="B83" s="36">
        <f>EXPENSES!B81</f>
        <v/>
      </c>
      <c r="C83" s="37">
        <f>EXPENSES!E81</f>
        <v/>
      </c>
      <c r="D83" s="37">
        <f>EXPENSES!I81</f>
        <v/>
      </c>
      <c r="E83" s="37">
        <f>C83+D83</f>
        <v/>
      </c>
      <c r="F83" s="70" t="n"/>
      <c r="G83" s="76" t="n"/>
      <c r="H83" s="77" t="n"/>
      <c r="I83" s="77" t="n"/>
      <c r="J83" s="77" t="n"/>
      <c r="K83" s="77" t="n"/>
      <c r="L83" s="87" t="n"/>
      <c r="M83" s="90">
        <f>SUM(H83:L83)</f>
        <v/>
      </c>
      <c r="N83" s="76" t="n"/>
      <c r="O83" s="77" t="n"/>
      <c r="P83" s="77" t="n"/>
      <c r="Q83" s="77" t="n"/>
      <c r="R83" s="77" t="n"/>
      <c r="S83" s="87" t="n"/>
      <c r="T83" s="90">
        <f>SUM(O83:S83)</f>
        <v/>
      </c>
      <c r="U83" s="76" t="n"/>
      <c r="V83" s="77" t="n"/>
      <c r="W83" s="77" t="n"/>
      <c r="X83" s="77" t="n"/>
      <c r="Y83" s="77" t="n"/>
      <c r="Z83" s="99" t="n"/>
      <c r="AA83" s="90">
        <f>SUM(V83:Z83)</f>
        <v/>
      </c>
      <c r="AB83" s="100">
        <f>H83+O83+V83</f>
        <v/>
      </c>
      <c r="AC83" s="62">
        <f>I83+P83+W83</f>
        <v/>
      </c>
      <c r="AD83" s="62">
        <f>J83+Q83+X83</f>
        <v/>
      </c>
      <c r="AE83" s="62">
        <f>K83+R83+Y83</f>
        <v/>
      </c>
      <c r="AF83" s="62">
        <f>L83+S83+Z83</f>
        <v/>
      </c>
      <c r="AG83" s="15">
        <f>M83+T83+AA83</f>
        <v/>
      </c>
      <c r="AH83" s="62">
        <f>G83+N83+U83</f>
        <v/>
      </c>
      <c r="AI83" s="63">
        <f>AG83-AH83</f>
        <v/>
      </c>
      <c r="AJ83" s="68" t="n"/>
    </row>
    <row r="84">
      <c r="A84" s="35">
        <f>EXPENSES!L82</f>
        <v/>
      </c>
      <c r="B84" s="36">
        <f>EXPENSES!B82</f>
        <v/>
      </c>
      <c r="C84" s="37">
        <f>EXPENSES!E82</f>
        <v/>
      </c>
      <c r="D84" s="37">
        <f>EXPENSES!I82</f>
        <v/>
      </c>
      <c r="E84" s="37">
        <f>C84+D84</f>
        <v/>
      </c>
      <c r="F84" s="70" t="n"/>
      <c r="G84" s="76" t="n"/>
      <c r="H84" s="77" t="n"/>
      <c r="I84" s="77" t="n"/>
      <c r="J84" s="77" t="n"/>
      <c r="K84" s="77" t="n"/>
      <c r="L84" s="87" t="n"/>
      <c r="M84" s="90">
        <f>SUM(H84:L84)</f>
        <v/>
      </c>
      <c r="N84" s="76" t="n"/>
      <c r="O84" s="77" t="n"/>
      <c r="P84" s="77" t="n"/>
      <c r="Q84" s="77" t="n"/>
      <c r="R84" s="77" t="n"/>
      <c r="S84" s="87" t="n"/>
      <c r="T84" s="90">
        <f>SUM(O84:S84)</f>
        <v/>
      </c>
      <c r="U84" s="76" t="n"/>
      <c r="V84" s="77" t="n"/>
      <c r="W84" s="77" t="n"/>
      <c r="X84" s="77" t="n"/>
      <c r="Y84" s="77" t="n"/>
      <c r="Z84" s="99" t="n"/>
      <c r="AA84" s="90">
        <f>SUM(V84:Z84)</f>
        <v/>
      </c>
      <c r="AB84" s="100">
        <f>H84+O84+V84</f>
        <v/>
      </c>
      <c r="AC84" s="62">
        <f>I84+P84+W84</f>
        <v/>
      </c>
      <c r="AD84" s="62">
        <f>J84+Q84+X84</f>
        <v/>
      </c>
      <c r="AE84" s="62">
        <f>K84+R84+Y84</f>
        <v/>
      </c>
      <c r="AF84" s="62">
        <f>L84+S84+Z84</f>
        <v/>
      </c>
      <c r="AG84" s="15">
        <f>M84+T84+AA84</f>
        <v/>
      </c>
      <c r="AH84" s="62">
        <f>G84+N84+U84</f>
        <v/>
      </c>
      <c r="AI84" s="63">
        <f>AG84-AH84</f>
        <v/>
      </c>
      <c r="AJ84" s="68" t="n"/>
    </row>
    <row r="85">
      <c r="A85" s="35">
        <f>EXPENSES!L83</f>
        <v/>
      </c>
      <c r="B85" s="36">
        <f>EXPENSES!B83</f>
        <v/>
      </c>
      <c r="C85" s="37">
        <f>EXPENSES!E83</f>
        <v/>
      </c>
      <c r="D85" s="37">
        <f>EXPENSES!I83</f>
        <v/>
      </c>
      <c r="E85" s="37">
        <f>C85+D85</f>
        <v/>
      </c>
      <c r="F85" s="70" t="n"/>
      <c r="G85" s="76" t="n"/>
      <c r="H85" s="77" t="n"/>
      <c r="I85" s="77" t="n"/>
      <c r="J85" s="77" t="n"/>
      <c r="K85" s="77" t="n"/>
      <c r="L85" s="87" t="n"/>
      <c r="M85" s="90">
        <f>SUM(H85:L85)</f>
        <v/>
      </c>
      <c r="N85" s="76" t="n"/>
      <c r="O85" s="77" t="n"/>
      <c r="P85" s="77" t="n"/>
      <c r="Q85" s="77" t="n"/>
      <c r="R85" s="77" t="n"/>
      <c r="S85" s="87" t="n"/>
      <c r="T85" s="90">
        <f>SUM(O85:S85)</f>
        <v/>
      </c>
      <c r="U85" s="76" t="n"/>
      <c r="V85" s="77" t="n"/>
      <c r="W85" s="77" t="n"/>
      <c r="X85" s="77" t="n"/>
      <c r="Y85" s="77" t="n"/>
      <c r="Z85" s="99" t="n"/>
      <c r="AA85" s="90">
        <f>SUM(V85:Z85)</f>
        <v/>
      </c>
      <c r="AB85" s="100">
        <f>H85+O85+V85</f>
        <v/>
      </c>
      <c r="AC85" s="62">
        <f>I85+P85+W85</f>
        <v/>
      </c>
      <c r="AD85" s="62">
        <f>J85+Q85+X85</f>
        <v/>
      </c>
      <c r="AE85" s="62">
        <f>K85+R85+Y85</f>
        <v/>
      </c>
      <c r="AF85" s="62">
        <f>L85+S85+Z85</f>
        <v/>
      </c>
      <c r="AG85" s="15">
        <f>M85+T85+AA85</f>
        <v/>
      </c>
      <c r="AH85" s="62">
        <f>G85+N85+U85</f>
        <v/>
      </c>
      <c r="AI85" s="63">
        <f>AG85-AH85</f>
        <v/>
      </c>
      <c r="AJ85" s="68" t="n"/>
    </row>
    <row r="86">
      <c r="A86" s="35">
        <f>EXPENSES!L84</f>
        <v/>
      </c>
      <c r="B86" s="36">
        <f>EXPENSES!B84</f>
        <v/>
      </c>
      <c r="C86" s="37">
        <f>EXPENSES!E84</f>
        <v/>
      </c>
      <c r="D86" s="37">
        <f>EXPENSES!I84</f>
        <v/>
      </c>
      <c r="E86" s="37">
        <f>C86+D86</f>
        <v/>
      </c>
      <c r="F86" s="70" t="n"/>
      <c r="G86" s="76" t="n"/>
      <c r="H86" s="77" t="n"/>
      <c r="I86" s="77" t="n"/>
      <c r="J86" s="77" t="n"/>
      <c r="K86" s="77" t="n"/>
      <c r="L86" s="87" t="n"/>
      <c r="M86" s="90">
        <f>SUM(H86:L86)</f>
        <v/>
      </c>
      <c r="N86" s="76" t="n"/>
      <c r="O86" s="77" t="n"/>
      <c r="P86" s="77" t="n"/>
      <c r="Q86" s="77" t="n"/>
      <c r="R86" s="77" t="n"/>
      <c r="S86" s="87" t="n"/>
      <c r="T86" s="90">
        <f>SUM(O86:S86)</f>
        <v/>
      </c>
      <c r="U86" s="76" t="n"/>
      <c r="V86" s="77" t="n"/>
      <c r="W86" s="77" t="n"/>
      <c r="X86" s="77" t="n"/>
      <c r="Y86" s="77" t="n"/>
      <c r="Z86" s="99" t="n"/>
      <c r="AA86" s="90">
        <f>SUM(V86:Z86)</f>
        <v/>
      </c>
      <c r="AB86" s="100">
        <f>H86+O86+V86</f>
        <v/>
      </c>
      <c r="AC86" s="62">
        <f>I86+P86+W86</f>
        <v/>
      </c>
      <c r="AD86" s="62">
        <f>J86+Q86+X86</f>
        <v/>
      </c>
      <c r="AE86" s="62">
        <f>K86+R86+Y86</f>
        <v/>
      </c>
      <c r="AF86" s="62">
        <f>L86+S86+Z86</f>
        <v/>
      </c>
      <c r="AG86" s="15">
        <f>M86+T86+AA86</f>
        <v/>
      </c>
      <c r="AH86" s="62">
        <f>G86+N86+U86</f>
        <v/>
      </c>
      <c r="AI86" s="63">
        <f>AG86-AH86</f>
        <v/>
      </c>
      <c r="AJ86" s="68" t="n"/>
    </row>
    <row r="87">
      <c r="A87" s="35">
        <f>EXPENSES!L85</f>
        <v/>
      </c>
      <c r="B87" s="36">
        <f>EXPENSES!B85</f>
        <v/>
      </c>
      <c r="C87" s="37">
        <f>EXPENSES!E85</f>
        <v/>
      </c>
      <c r="D87" s="37">
        <f>EXPENSES!I85</f>
        <v/>
      </c>
      <c r="E87" s="37">
        <f>C87+D87</f>
        <v/>
      </c>
      <c r="F87" s="70" t="n"/>
      <c r="G87" s="76" t="n"/>
      <c r="H87" s="77" t="n"/>
      <c r="I87" s="77" t="n"/>
      <c r="J87" s="77" t="n"/>
      <c r="K87" s="77" t="n"/>
      <c r="L87" s="87" t="n"/>
      <c r="M87" s="90">
        <f>SUM(H87:L87)</f>
        <v/>
      </c>
      <c r="N87" s="76" t="n"/>
      <c r="O87" s="77" t="n"/>
      <c r="P87" s="77" t="n"/>
      <c r="Q87" s="77" t="n"/>
      <c r="R87" s="77" t="n"/>
      <c r="S87" s="87" t="n"/>
      <c r="T87" s="90">
        <f>SUM(O87:S87)</f>
        <v/>
      </c>
      <c r="U87" s="76" t="n"/>
      <c r="V87" s="77" t="n"/>
      <c r="W87" s="77" t="n"/>
      <c r="X87" s="77" t="n"/>
      <c r="Y87" s="77" t="n"/>
      <c r="Z87" s="99" t="n"/>
      <c r="AA87" s="90">
        <f>SUM(V87:Z87)</f>
        <v/>
      </c>
      <c r="AB87" s="100">
        <f>H87+O87+V87</f>
        <v/>
      </c>
      <c r="AC87" s="62">
        <f>I87+P87+W87</f>
        <v/>
      </c>
      <c r="AD87" s="62">
        <f>J87+Q87+X87</f>
        <v/>
      </c>
      <c r="AE87" s="62">
        <f>K87+R87+Y87</f>
        <v/>
      </c>
      <c r="AF87" s="62">
        <f>L87+S87+Z87</f>
        <v/>
      </c>
      <c r="AG87" s="15">
        <f>M87+T87+AA87</f>
        <v/>
      </c>
      <c r="AH87" s="62">
        <f>G87+N87+U87</f>
        <v/>
      </c>
      <c r="AI87" s="63">
        <f>AG87-AH87</f>
        <v/>
      </c>
      <c r="AJ87" s="68" t="n"/>
    </row>
    <row r="88">
      <c r="A88" s="24" t="n"/>
      <c r="B88" s="113" t="inlineStr">
        <is>
          <t>DEBT PAYMENTS</t>
        </is>
      </c>
      <c r="C88" s="24">
        <f>SUM(C89:C89)</f>
        <v/>
      </c>
      <c r="D88" s="24">
        <f>SUM(D89:D89)</f>
        <v/>
      </c>
      <c r="E88" s="24">
        <f>SUM(E89:E89)</f>
        <v/>
      </c>
      <c r="F88" s="69" t="n"/>
      <c r="G88" s="78">
        <f>SUM(G89:G89)</f>
        <v/>
      </c>
      <c r="H88" s="79">
        <f>SUM(H89:H89)</f>
        <v/>
      </c>
      <c r="I88" s="79">
        <f>SUM(I89:I89)</f>
        <v/>
      </c>
      <c r="J88" s="79">
        <f>SUM(J89:J89)</f>
        <v/>
      </c>
      <c r="K88" s="79">
        <f>SUM(K89:K89)</f>
        <v/>
      </c>
      <c r="L88" s="69">
        <f>SUM(L89:L89)</f>
        <v/>
      </c>
      <c r="M88" s="91">
        <f>SUM(M89:M89)</f>
        <v/>
      </c>
      <c r="N88" s="78">
        <f>SUM(N89:N89)</f>
        <v/>
      </c>
      <c r="O88" s="79">
        <f>SUM(O89:O89)</f>
        <v/>
      </c>
      <c r="P88" s="79">
        <f>SUM(P89:P89)</f>
        <v/>
      </c>
      <c r="Q88" s="79">
        <f>SUM(Q89:Q89)</f>
        <v/>
      </c>
      <c r="R88" s="79">
        <f>SUM(R89:R89)</f>
        <v/>
      </c>
      <c r="S88" s="69">
        <f>SUM(S89:S89)</f>
        <v/>
      </c>
      <c r="T88" s="91">
        <f>SUM(T89:T89)</f>
        <v/>
      </c>
      <c r="U88" s="78">
        <f>SUM(U89:U89)</f>
        <v/>
      </c>
      <c r="V88" s="79">
        <f>SUM(V89:V89)</f>
        <v/>
      </c>
      <c r="W88" s="79">
        <f>SUM(W89:W89)</f>
        <v/>
      </c>
      <c r="X88" s="79">
        <f>SUM(X89:X89)</f>
        <v/>
      </c>
      <c r="Y88" s="79">
        <f>SUM(Y89:Y89)</f>
        <v/>
      </c>
      <c r="Z88" s="80">
        <f>SUM(Z89:Z89)</f>
        <v/>
      </c>
      <c r="AA88" s="91">
        <f>SUM(AA89:AA89)</f>
        <v/>
      </c>
      <c r="AB88" s="71">
        <f>SUM(AB89:AB89)</f>
        <v/>
      </c>
      <c r="AC88" s="24">
        <f>SUM(AC89:AC89)</f>
        <v/>
      </c>
      <c r="AD88" s="24">
        <f>SUM(AD89:AD89)</f>
        <v/>
      </c>
      <c r="AE88" s="24">
        <f>SUM(AE89:AE89)</f>
        <v/>
      </c>
      <c r="AF88" s="24">
        <f>SUM(AF89:AF89)</f>
        <v/>
      </c>
      <c r="AG88" s="24">
        <f>SUM(AG89:AG89)</f>
        <v/>
      </c>
      <c r="AH88" s="24">
        <f>SUM(AH89:AH89)</f>
        <v/>
      </c>
      <c r="AI88" s="24">
        <f>SUM(AI89:AI89)</f>
        <v/>
      </c>
      <c r="AJ88" s="24" t="n"/>
    </row>
    <row r="89">
      <c r="A89" s="35">
        <f>EXPENSES!L87</f>
        <v/>
      </c>
      <c r="B89" s="36">
        <f>EXPENSES!B87</f>
        <v/>
      </c>
      <c r="C89" s="37">
        <f>EXPENSES!E87</f>
        <v/>
      </c>
      <c r="D89" s="37">
        <f>EXPENSES!I87</f>
        <v/>
      </c>
      <c r="E89" s="37">
        <f>C89+D89</f>
        <v/>
      </c>
      <c r="F89" s="70" t="n"/>
      <c r="G89" s="76" t="n"/>
      <c r="H89" s="77" t="n"/>
      <c r="I89" s="77" t="n"/>
      <c r="J89" s="77" t="n"/>
      <c r="K89" s="77" t="n"/>
      <c r="L89" s="87" t="n"/>
      <c r="M89" s="90">
        <f>SUM(H89:L89)</f>
        <v/>
      </c>
      <c r="N89" s="76" t="n"/>
      <c r="O89" s="77" t="n"/>
      <c r="P89" s="77" t="n"/>
      <c r="Q89" s="77" t="n"/>
      <c r="R89" s="77" t="n"/>
      <c r="S89" s="87" t="n"/>
      <c r="T89" s="90">
        <f>SUM(O89:S89)</f>
        <v/>
      </c>
      <c r="U89" s="76" t="n"/>
      <c r="V89" s="77" t="n"/>
      <c r="W89" s="77" t="n"/>
      <c r="X89" s="77" t="n"/>
      <c r="Y89" s="77" t="n"/>
      <c r="Z89" s="99" t="n"/>
      <c r="AA89" s="90">
        <f>SUM(V89:Z89)</f>
        <v/>
      </c>
      <c r="AB89" s="100">
        <f>H89+O89+V89</f>
        <v/>
      </c>
      <c r="AC89" s="62">
        <f>I89+P89+W89</f>
        <v/>
      </c>
      <c r="AD89" s="62">
        <f>J89+Q89+X89</f>
        <v/>
      </c>
      <c r="AE89" s="62">
        <f>K89+R89+Y89</f>
        <v/>
      </c>
      <c r="AF89" s="62">
        <f>L89+S89+Z89</f>
        <v/>
      </c>
      <c r="AG89" s="15">
        <f>M89+T89+AA89</f>
        <v/>
      </c>
      <c r="AH89" s="62">
        <f>G89+N89+U89</f>
        <v/>
      </c>
      <c r="AI89" s="63">
        <f>AG89-AH89</f>
        <v/>
      </c>
      <c r="AJ89" s="68" t="n"/>
    </row>
    <row r="90">
      <c r="A90" s="24" t="n"/>
      <c r="B90" s="113" t="inlineStr">
        <is>
          <t>LEGAL &amp; GOVERNMENT</t>
        </is>
      </c>
      <c r="C90" s="24">
        <f>SUM(C91:C95)</f>
        <v/>
      </c>
      <c r="D90" s="24">
        <f>SUM(D91:D95)</f>
        <v/>
      </c>
      <c r="E90" s="24">
        <f>SUM(E91:E95)</f>
        <v/>
      </c>
      <c r="F90" s="69" t="n"/>
      <c r="G90" s="78">
        <f>SUM(G91:G95)</f>
        <v/>
      </c>
      <c r="H90" s="79">
        <f>SUM(H91:H95)</f>
        <v/>
      </c>
      <c r="I90" s="79">
        <f>SUM(I91:I95)</f>
        <v/>
      </c>
      <c r="J90" s="79">
        <f>SUM(J91:J95)</f>
        <v/>
      </c>
      <c r="K90" s="79">
        <f>SUM(K91:K95)</f>
        <v/>
      </c>
      <c r="L90" s="69">
        <f>SUM(L91:L95)</f>
        <v/>
      </c>
      <c r="M90" s="91">
        <f>SUM(M91:M95)</f>
        <v/>
      </c>
      <c r="N90" s="78">
        <f>SUM(N91:N95)</f>
        <v/>
      </c>
      <c r="O90" s="79">
        <f>SUM(O91:O95)</f>
        <v/>
      </c>
      <c r="P90" s="79">
        <f>SUM(P91:P95)</f>
        <v/>
      </c>
      <c r="Q90" s="79">
        <f>SUM(Q91:Q95)</f>
        <v/>
      </c>
      <c r="R90" s="79">
        <f>SUM(R91:R95)</f>
        <v/>
      </c>
      <c r="S90" s="69">
        <f>SUM(S91:S95)</f>
        <v/>
      </c>
      <c r="T90" s="91">
        <f>SUM(T91:T95)</f>
        <v/>
      </c>
      <c r="U90" s="78">
        <f>SUM(U91:U95)</f>
        <v/>
      </c>
      <c r="V90" s="79">
        <f>SUM(V91:V95)</f>
        <v/>
      </c>
      <c r="W90" s="79">
        <f>SUM(W91:W95)</f>
        <v/>
      </c>
      <c r="X90" s="79">
        <f>SUM(X91:X95)</f>
        <v/>
      </c>
      <c r="Y90" s="79">
        <f>SUM(Y91:Y95)</f>
        <v/>
      </c>
      <c r="Z90" s="80">
        <f>SUM(Z91:Z95)</f>
        <v/>
      </c>
      <c r="AA90" s="91">
        <f>SUM(AA91:AA95)</f>
        <v/>
      </c>
      <c r="AB90" s="71">
        <f>SUM(AB91:AB95)</f>
        <v/>
      </c>
      <c r="AC90" s="24">
        <f>SUM(AC91:AC95)</f>
        <v/>
      </c>
      <c r="AD90" s="24">
        <f>SUM(AD91:AD95)</f>
        <v/>
      </c>
      <c r="AE90" s="24">
        <f>SUM(AE91:AE95)</f>
        <v/>
      </c>
      <c r="AF90" s="24">
        <f>SUM(AF91:AF95)</f>
        <v/>
      </c>
      <c r="AG90" s="24">
        <f>SUM(AG91:AG95)</f>
        <v/>
      </c>
      <c r="AH90" s="24">
        <f>SUM(AH91:AH95)</f>
        <v/>
      </c>
      <c r="AI90" s="24">
        <f>SUM(AI91:AI95)</f>
        <v/>
      </c>
      <c r="AJ90" s="24" t="n"/>
    </row>
    <row r="91">
      <c r="A91" s="35">
        <f>EXPENSES!L89</f>
        <v/>
      </c>
      <c r="B91" s="36">
        <f>EXPENSES!B89</f>
        <v/>
      </c>
      <c r="C91" s="37">
        <f>EXPENSES!E89</f>
        <v/>
      </c>
      <c r="D91" s="37">
        <f>EXPENSES!I89</f>
        <v/>
      </c>
      <c r="E91" s="37">
        <f>C91+D91</f>
        <v/>
      </c>
      <c r="F91" s="70" t="n"/>
      <c r="G91" s="76" t="n"/>
      <c r="H91" s="77" t="n"/>
      <c r="I91" s="77" t="n"/>
      <c r="J91" s="77" t="n"/>
      <c r="K91" s="77" t="n"/>
      <c r="L91" s="87" t="n"/>
      <c r="M91" s="90">
        <f>SUM(H91:L91)</f>
        <v/>
      </c>
      <c r="N91" s="76" t="n"/>
      <c r="O91" s="77" t="n"/>
      <c r="P91" s="77" t="n"/>
      <c r="Q91" s="77" t="n"/>
      <c r="R91" s="77" t="n"/>
      <c r="S91" s="87" t="n"/>
      <c r="T91" s="90">
        <f>SUM(O91:S91)</f>
        <v/>
      </c>
      <c r="U91" s="76" t="n"/>
      <c r="V91" s="77" t="n"/>
      <c r="W91" s="77" t="n"/>
      <c r="X91" s="77" t="n"/>
      <c r="Y91" s="77" t="n"/>
      <c r="Z91" s="99" t="n"/>
      <c r="AA91" s="90">
        <f>SUM(V91:Z91)</f>
        <v/>
      </c>
      <c r="AB91" s="100">
        <f>H91+O91+V91</f>
        <v/>
      </c>
      <c r="AC91" s="62">
        <f>I91+P91+W91</f>
        <v/>
      </c>
      <c r="AD91" s="62">
        <f>J91+Q91+X91</f>
        <v/>
      </c>
      <c r="AE91" s="62">
        <f>K91+R91+Y91</f>
        <v/>
      </c>
      <c r="AF91" s="62">
        <f>L91+S91+Z91</f>
        <v/>
      </c>
      <c r="AG91" s="15">
        <f>M91+T91+AA91</f>
        <v/>
      </c>
      <c r="AH91" s="62">
        <f>G91+N91+U91</f>
        <v/>
      </c>
      <c r="AI91" s="63">
        <f>AG91-AH91</f>
        <v/>
      </c>
      <c r="AJ91" s="68" t="n"/>
    </row>
    <row r="92">
      <c r="A92" s="35">
        <f>EXPENSES!L90</f>
        <v/>
      </c>
      <c r="B92" s="36">
        <f>EXPENSES!B90</f>
        <v/>
      </c>
      <c r="C92" s="37">
        <f>EXPENSES!E90</f>
        <v/>
      </c>
      <c r="D92" s="37">
        <f>EXPENSES!I90</f>
        <v/>
      </c>
      <c r="E92" s="37">
        <f>C92+D92</f>
        <v/>
      </c>
      <c r="F92" s="70" t="n"/>
      <c r="G92" s="76" t="n"/>
      <c r="H92" s="77" t="n"/>
      <c r="I92" s="77" t="n"/>
      <c r="J92" s="77" t="n"/>
      <c r="K92" s="77" t="n"/>
      <c r="L92" s="87" t="n"/>
      <c r="M92" s="90">
        <f>SUM(H92:L92)</f>
        <v/>
      </c>
      <c r="N92" s="76" t="n"/>
      <c r="O92" s="77" t="n"/>
      <c r="P92" s="77" t="n"/>
      <c r="Q92" s="77" t="n"/>
      <c r="R92" s="77" t="n"/>
      <c r="S92" s="87" t="n"/>
      <c r="T92" s="90">
        <f>SUM(O92:S92)</f>
        <v/>
      </c>
      <c r="U92" s="76" t="n"/>
      <c r="V92" s="77" t="n"/>
      <c r="W92" s="77" t="n"/>
      <c r="X92" s="77" t="n"/>
      <c r="Y92" s="77" t="n"/>
      <c r="Z92" s="99" t="n"/>
      <c r="AA92" s="90">
        <f>SUM(V92:Z92)</f>
        <v/>
      </c>
      <c r="AB92" s="100">
        <f>H92+O92+V92</f>
        <v/>
      </c>
      <c r="AC92" s="62">
        <f>I92+P92+W92</f>
        <v/>
      </c>
      <c r="AD92" s="62">
        <f>J92+Q92+X92</f>
        <v/>
      </c>
      <c r="AE92" s="62">
        <f>K92+R92+Y92</f>
        <v/>
      </c>
      <c r="AF92" s="62">
        <f>L92+S92+Z92</f>
        <v/>
      </c>
      <c r="AG92" s="15">
        <f>M92+T92+AA92</f>
        <v/>
      </c>
      <c r="AH92" s="62">
        <f>G92+N92+U92</f>
        <v/>
      </c>
      <c r="AI92" s="63">
        <f>AG92-AH92</f>
        <v/>
      </c>
      <c r="AJ92" s="68" t="n"/>
    </row>
    <row r="93">
      <c r="A93" s="35">
        <f>EXPENSES!L91</f>
        <v/>
      </c>
      <c r="B93" s="36">
        <f>EXPENSES!B91</f>
        <v/>
      </c>
      <c r="C93" s="37">
        <f>EXPENSES!E91</f>
        <v/>
      </c>
      <c r="D93" s="37">
        <f>EXPENSES!I91</f>
        <v/>
      </c>
      <c r="E93" s="37">
        <f>C93+D93</f>
        <v/>
      </c>
      <c r="F93" s="70" t="n"/>
      <c r="G93" s="76" t="n"/>
      <c r="H93" s="77" t="n"/>
      <c r="I93" s="77" t="n"/>
      <c r="J93" s="77" t="n"/>
      <c r="K93" s="77" t="n"/>
      <c r="L93" s="87" t="n"/>
      <c r="M93" s="90">
        <f>SUM(H93:L93)</f>
        <v/>
      </c>
      <c r="N93" s="76" t="n"/>
      <c r="O93" s="77" t="n"/>
      <c r="P93" s="77" t="n"/>
      <c r="Q93" s="77" t="n"/>
      <c r="R93" s="77" t="n"/>
      <c r="S93" s="87" t="n"/>
      <c r="T93" s="90">
        <f>SUM(O93:S93)</f>
        <v/>
      </c>
      <c r="U93" s="76" t="n"/>
      <c r="V93" s="77" t="n"/>
      <c r="W93" s="77" t="n"/>
      <c r="X93" s="77" t="n"/>
      <c r="Y93" s="77" t="n"/>
      <c r="Z93" s="99" t="n"/>
      <c r="AA93" s="90">
        <f>SUM(V93:Z93)</f>
        <v/>
      </c>
      <c r="AB93" s="100">
        <f>H93+O93+V93</f>
        <v/>
      </c>
      <c r="AC93" s="62">
        <f>I93+P93+W93</f>
        <v/>
      </c>
      <c r="AD93" s="62">
        <f>J93+Q93+X93</f>
        <v/>
      </c>
      <c r="AE93" s="62">
        <f>K93+R93+Y93</f>
        <v/>
      </c>
      <c r="AF93" s="62">
        <f>L93+S93+Z93</f>
        <v/>
      </c>
      <c r="AG93" s="15">
        <f>M93+T93+AA93</f>
        <v/>
      </c>
      <c r="AH93" s="62">
        <f>G93+N93+U93</f>
        <v/>
      </c>
      <c r="AI93" s="63">
        <f>AG93-AH93</f>
        <v/>
      </c>
      <c r="AJ93" s="68" t="n"/>
    </row>
    <row r="94">
      <c r="A94" s="35">
        <f>EXPENSES!L92</f>
        <v/>
      </c>
      <c r="B94" s="36">
        <f>EXPENSES!B92</f>
        <v/>
      </c>
      <c r="C94" s="37">
        <f>EXPENSES!E92</f>
        <v/>
      </c>
      <c r="D94" s="37">
        <f>EXPENSES!I92</f>
        <v/>
      </c>
      <c r="E94" s="37">
        <f>C94+D94</f>
        <v/>
      </c>
      <c r="F94" s="70" t="n"/>
      <c r="G94" s="76" t="n"/>
      <c r="H94" s="77" t="n"/>
      <c r="I94" s="77" t="n"/>
      <c r="J94" s="77" t="n"/>
      <c r="K94" s="77" t="n"/>
      <c r="L94" s="87" t="n"/>
      <c r="M94" s="90">
        <f>SUM(H94:L94)</f>
        <v/>
      </c>
      <c r="N94" s="76" t="n"/>
      <c r="O94" s="77" t="n"/>
      <c r="P94" s="77" t="n"/>
      <c r="Q94" s="77" t="n"/>
      <c r="R94" s="77" t="n"/>
      <c r="S94" s="87" t="n"/>
      <c r="T94" s="90">
        <f>SUM(O94:S94)</f>
        <v/>
      </c>
      <c r="U94" s="76" t="n"/>
      <c r="V94" s="77" t="n"/>
      <c r="W94" s="77" t="n"/>
      <c r="X94" s="77" t="n"/>
      <c r="Y94" s="77" t="n"/>
      <c r="Z94" s="99" t="n"/>
      <c r="AA94" s="90">
        <f>SUM(V94:Z94)</f>
        <v/>
      </c>
      <c r="AB94" s="100">
        <f>H94+O94+V94</f>
        <v/>
      </c>
      <c r="AC94" s="62">
        <f>I94+P94+W94</f>
        <v/>
      </c>
      <c r="AD94" s="62">
        <f>J94+Q94+X94</f>
        <v/>
      </c>
      <c r="AE94" s="62">
        <f>K94+R94+Y94</f>
        <v/>
      </c>
      <c r="AF94" s="62">
        <f>L94+S94+Z94</f>
        <v/>
      </c>
      <c r="AG94" s="15">
        <f>M94+T94+AA94</f>
        <v/>
      </c>
      <c r="AH94" s="62">
        <f>G94+N94+U94</f>
        <v/>
      </c>
      <c r="AI94" s="63">
        <f>AG94-AH94</f>
        <v/>
      </c>
      <c r="AJ94" s="68" t="n"/>
    </row>
    <row r="95">
      <c r="A95" s="35">
        <f>EXPENSES!L93</f>
        <v/>
      </c>
      <c r="B95" s="36">
        <f>EXPENSES!B93</f>
        <v/>
      </c>
      <c r="C95" s="37">
        <f>EXPENSES!E93</f>
        <v/>
      </c>
      <c r="D95" s="37">
        <f>EXPENSES!I93</f>
        <v/>
      </c>
      <c r="E95" s="37">
        <f>C95+D95</f>
        <v/>
      </c>
      <c r="F95" s="70" t="n"/>
      <c r="G95" s="76" t="n"/>
      <c r="H95" s="77" t="n"/>
      <c r="I95" s="77" t="n"/>
      <c r="J95" s="77" t="n"/>
      <c r="K95" s="77" t="n"/>
      <c r="L95" s="87" t="n"/>
      <c r="M95" s="90">
        <f>SUM(H95:L95)</f>
        <v/>
      </c>
      <c r="N95" s="76" t="n"/>
      <c r="O95" s="77" t="n"/>
      <c r="P95" s="77" t="n"/>
      <c r="Q95" s="77" t="n"/>
      <c r="R95" s="77" t="n"/>
      <c r="S95" s="87" t="n"/>
      <c r="T95" s="90">
        <f>SUM(O95:S95)</f>
        <v/>
      </c>
      <c r="U95" s="76" t="n"/>
      <c r="V95" s="77" t="n"/>
      <c r="W95" s="77" t="n"/>
      <c r="X95" s="77" t="n"/>
      <c r="Y95" s="77" t="n"/>
      <c r="Z95" s="99" t="n"/>
      <c r="AA95" s="90">
        <f>SUM(V95:Z95)</f>
        <v/>
      </c>
      <c r="AB95" s="100">
        <f>H95+O95+V95</f>
        <v/>
      </c>
      <c r="AC95" s="62">
        <f>I95+P95+W95</f>
        <v/>
      </c>
      <c r="AD95" s="62">
        <f>J95+Q95+X95</f>
        <v/>
      </c>
      <c r="AE95" s="62">
        <f>K95+R95+Y95</f>
        <v/>
      </c>
      <c r="AF95" s="62">
        <f>L95+S95+Z95</f>
        <v/>
      </c>
      <c r="AG95" s="15">
        <f>M95+T95+AA95</f>
        <v/>
      </c>
      <c r="AH95" s="62">
        <f>G95+N95+U95</f>
        <v/>
      </c>
      <c r="AI95" s="63">
        <f>AG95-AH95</f>
        <v/>
      </c>
      <c r="AJ95" s="68" t="n"/>
    </row>
    <row r="96">
      <c r="A96" s="24" t="n"/>
      <c r="B96" s="113" t="inlineStr">
        <is>
          <t>PETS</t>
        </is>
      </c>
      <c r="C96" s="24">
        <f>SUM(C97:C100)</f>
        <v/>
      </c>
      <c r="D96" s="24">
        <f>SUM(D97:D100)</f>
        <v/>
      </c>
      <c r="E96" s="24">
        <f>SUM(E97:E100)</f>
        <v/>
      </c>
      <c r="F96" s="69" t="n"/>
      <c r="G96" s="78">
        <f>SUM(G97:G100)</f>
        <v/>
      </c>
      <c r="H96" s="79">
        <f>SUM(H97:H100)</f>
        <v/>
      </c>
      <c r="I96" s="79">
        <f>SUM(I97:I100)</f>
        <v/>
      </c>
      <c r="J96" s="79">
        <f>SUM(J97:J100)</f>
        <v/>
      </c>
      <c r="K96" s="79">
        <f>SUM(K97:K100)</f>
        <v/>
      </c>
      <c r="L96" s="69">
        <f>SUM(L97:L100)</f>
        <v/>
      </c>
      <c r="M96" s="91">
        <f>SUM(M97:M100)</f>
        <v/>
      </c>
      <c r="N96" s="78">
        <f>SUM(N97:N100)</f>
        <v/>
      </c>
      <c r="O96" s="79">
        <f>SUM(O97:O100)</f>
        <v/>
      </c>
      <c r="P96" s="79">
        <f>SUM(P97:P100)</f>
        <v/>
      </c>
      <c r="Q96" s="79">
        <f>SUM(Q97:Q100)</f>
        <v/>
      </c>
      <c r="R96" s="79">
        <f>SUM(R97:R100)</f>
        <v/>
      </c>
      <c r="S96" s="69">
        <f>SUM(S97:S100)</f>
        <v/>
      </c>
      <c r="T96" s="91">
        <f>SUM(T97:T100)</f>
        <v/>
      </c>
      <c r="U96" s="78">
        <f>SUM(U97:U100)</f>
        <v/>
      </c>
      <c r="V96" s="79">
        <f>SUM(V97:V100)</f>
        <v/>
      </c>
      <c r="W96" s="79">
        <f>SUM(W97:W100)</f>
        <v/>
      </c>
      <c r="X96" s="79">
        <f>SUM(X97:X100)</f>
        <v/>
      </c>
      <c r="Y96" s="79">
        <f>SUM(Y97:Y100)</f>
        <v/>
      </c>
      <c r="Z96" s="80">
        <f>SUM(Z97:Z100)</f>
        <v/>
      </c>
      <c r="AA96" s="91">
        <f>SUM(AA97:AA100)</f>
        <v/>
      </c>
      <c r="AB96" s="71">
        <f>SUM(AB97:AB100)</f>
        <v/>
      </c>
      <c r="AC96" s="24">
        <f>SUM(AC97:AC100)</f>
        <v/>
      </c>
      <c r="AD96" s="24">
        <f>SUM(AD97:AD100)</f>
        <v/>
      </c>
      <c r="AE96" s="24">
        <f>SUM(AE97:AE100)</f>
        <v/>
      </c>
      <c r="AF96" s="24">
        <f>SUM(AF97:AF100)</f>
        <v/>
      </c>
      <c r="AG96" s="24">
        <f>SUM(AG97:AG100)</f>
        <v/>
      </c>
      <c r="AH96" s="24">
        <f>SUM(AH97:AH100)</f>
        <v/>
      </c>
      <c r="AI96" s="24">
        <f>SUM(AI97:AI100)</f>
        <v/>
      </c>
      <c r="AJ96" s="24" t="n"/>
    </row>
    <row r="97">
      <c r="A97" s="35">
        <f>EXPENSES!L95</f>
        <v/>
      </c>
      <c r="B97" s="36">
        <f>EXPENSES!B95</f>
        <v/>
      </c>
      <c r="C97" s="37">
        <f>EXPENSES!E95</f>
        <v/>
      </c>
      <c r="D97" s="37">
        <f>EXPENSES!I95</f>
        <v/>
      </c>
      <c r="E97" s="37">
        <f>C97+D97</f>
        <v/>
      </c>
      <c r="F97" s="70" t="n"/>
      <c r="G97" s="76" t="n"/>
      <c r="H97" s="77" t="n"/>
      <c r="I97" s="77" t="n"/>
      <c r="J97" s="77" t="n"/>
      <c r="K97" s="77" t="n"/>
      <c r="L97" s="87" t="n"/>
      <c r="M97" s="90">
        <f>SUM(H97:L97)</f>
        <v/>
      </c>
      <c r="N97" s="76" t="n"/>
      <c r="O97" s="77" t="n"/>
      <c r="P97" s="77" t="n"/>
      <c r="Q97" s="77" t="n"/>
      <c r="R97" s="77" t="n"/>
      <c r="S97" s="87" t="n"/>
      <c r="T97" s="90">
        <f>SUM(O97:S97)</f>
        <v/>
      </c>
      <c r="U97" s="76" t="n"/>
      <c r="V97" s="77" t="n"/>
      <c r="W97" s="77" t="n"/>
      <c r="X97" s="77" t="n"/>
      <c r="Y97" s="77" t="n"/>
      <c r="Z97" s="99" t="n"/>
      <c r="AA97" s="90">
        <f>SUM(V97:Z97)</f>
        <v/>
      </c>
      <c r="AB97" s="100">
        <f>H97+O97+V97</f>
        <v/>
      </c>
      <c r="AC97" s="62">
        <f>I97+P97+W97</f>
        <v/>
      </c>
      <c r="AD97" s="62">
        <f>J97+Q97+X97</f>
        <v/>
      </c>
      <c r="AE97" s="62">
        <f>K97+R97+Y97</f>
        <v/>
      </c>
      <c r="AF97" s="62">
        <f>L97+S97+Z97</f>
        <v/>
      </c>
      <c r="AG97" s="15">
        <f>M97+T97+AA97</f>
        <v/>
      </c>
      <c r="AH97" s="62">
        <f>G97+N97+U97</f>
        <v/>
      </c>
      <c r="AI97" s="63">
        <f>AG97-AH97</f>
        <v/>
      </c>
      <c r="AJ97" s="68" t="n"/>
    </row>
    <row r="98">
      <c r="A98" s="35">
        <f>EXPENSES!L96</f>
        <v/>
      </c>
      <c r="B98" s="36">
        <f>EXPENSES!B96</f>
        <v/>
      </c>
      <c r="C98" s="37">
        <f>EXPENSES!E96</f>
        <v/>
      </c>
      <c r="D98" s="37">
        <f>EXPENSES!I96</f>
        <v/>
      </c>
      <c r="E98" s="37">
        <f>C98+D98</f>
        <v/>
      </c>
      <c r="F98" s="70" t="n"/>
      <c r="G98" s="76" t="n"/>
      <c r="H98" s="77" t="n"/>
      <c r="I98" s="77" t="n"/>
      <c r="J98" s="77" t="n"/>
      <c r="K98" s="77" t="n"/>
      <c r="L98" s="87" t="n"/>
      <c r="M98" s="90">
        <f>SUM(H98:L98)</f>
        <v/>
      </c>
      <c r="N98" s="76" t="n"/>
      <c r="O98" s="77" t="n"/>
      <c r="P98" s="77" t="n"/>
      <c r="Q98" s="77" t="n"/>
      <c r="R98" s="77" t="n"/>
      <c r="S98" s="87" t="n"/>
      <c r="T98" s="90">
        <f>SUM(O98:S98)</f>
        <v/>
      </c>
      <c r="U98" s="76" t="n"/>
      <c r="V98" s="77" t="n"/>
      <c r="W98" s="77" t="n"/>
      <c r="X98" s="77" t="n"/>
      <c r="Y98" s="77" t="n"/>
      <c r="Z98" s="99" t="n"/>
      <c r="AA98" s="90">
        <f>SUM(V98:Z98)</f>
        <v/>
      </c>
      <c r="AB98" s="100">
        <f>H98+O98+V98</f>
        <v/>
      </c>
      <c r="AC98" s="62">
        <f>I98+P98+W98</f>
        <v/>
      </c>
      <c r="AD98" s="62">
        <f>J98+Q98+X98</f>
        <v/>
      </c>
      <c r="AE98" s="62">
        <f>K98+R98+Y98</f>
        <v/>
      </c>
      <c r="AF98" s="62">
        <f>L98+S98+Z98</f>
        <v/>
      </c>
      <c r="AG98" s="15">
        <f>M98+T98+AA98</f>
        <v/>
      </c>
      <c r="AH98" s="62">
        <f>G98+N98+U98</f>
        <v/>
      </c>
      <c r="AI98" s="63">
        <f>AG98-AH98</f>
        <v/>
      </c>
      <c r="AJ98" s="68" t="n"/>
    </row>
    <row r="99">
      <c r="A99" s="35">
        <f>EXPENSES!L97</f>
        <v/>
      </c>
      <c r="B99" s="36">
        <f>EXPENSES!B97</f>
        <v/>
      </c>
      <c r="C99" s="37">
        <f>EXPENSES!E97</f>
        <v/>
      </c>
      <c r="D99" s="37">
        <f>EXPENSES!I97</f>
        <v/>
      </c>
      <c r="E99" s="37">
        <f>C99+D99</f>
        <v/>
      </c>
      <c r="F99" s="70" t="n"/>
      <c r="G99" s="76" t="n"/>
      <c r="H99" s="77" t="n"/>
      <c r="I99" s="77" t="n"/>
      <c r="J99" s="77" t="n"/>
      <c r="K99" s="77" t="n"/>
      <c r="L99" s="87" t="n"/>
      <c r="M99" s="90">
        <f>SUM(H99:L99)</f>
        <v/>
      </c>
      <c r="N99" s="76" t="n"/>
      <c r="O99" s="77" t="n"/>
      <c r="P99" s="77" t="n"/>
      <c r="Q99" s="77" t="n"/>
      <c r="R99" s="77" t="n"/>
      <c r="S99" s="87" t="n"/>
      <c r="T99" s="90">
        <f>SUM(O99:S99)</f>
        <v/>
      </c>
      <c r="U99" s="76" t="n"/>
      <c r="V99" s="77" t="n"/>
      <c r="W99" s="77" t="n"/>
      <c r="X99" s="77" t="n"/>
      <c r="Y99" s="77" t="n"/>
      <c r="Z99" s="99" t="n"/>
      <c r="AA99" s="90">
        <f>SUM(V99:Z99)</f>
        <v/>
      </c>
      <c r="AB99" s="100">
        <f>H99+O99+V99</f>
        <v/>
      </c>
      <c r="AC99" s="62">
        <f>I99+P99+W99</f>
        <v/>
      </c>
      <c r="AD99" s="62">
        <f>J99+Q99+X99</f>
        <v/>
      </c>
      <c r="AE99" s="62">
        <f>K99+R99+Y99</f>
        <v/>
      </c>
      <c r="AF99" s="62">
        <f>L99+S99+Z99</f>
        <v/>
      </c>
      <c r="AG99" s="15">
        <f>M99+T99+AA99</f>
        <v/>
      </c>
      <c r="AH99" s="62">
        <f>G99+N99+U99</f>
        <v/>
      </c>
      <c r="AI99" s="63">
        <f>AG99-AH99</f>
        <v/>
      </c>
      <c r="AJ99" s="68" t="n"/>
    </row>
    <row r="100">
      <c r="A100" s="35">
        <f>EXPENSES!L98</f>
        <v/>
      </c>
      <c r="B100" s="36">
        <f>EXPENSES!B98</f>
        <v/>
      </c>
      <c r="C100" s="37">
        <f>EXPENSES!E98</f>
        <v/>
      </c>
      <c r="D100" s="37">
        <f>EXPENSES!I98</f>
        <v/>
      </c>
      <c r="E100" s="37">
        <f>C100+D100</f>
        <v/>
      </c>
      <c r="F100" s="70" t="n"/>
      <c r="G100" s="76" t="n"/>
      <c r="H100" s="77" t="n"/>
      <c r="I100" s="77" t="n"/>
      <c r="J100" s="77" t="n"/>
      <c r="K100" s="77" t="n"/>
      <c r="L100" s="87" t="n"/>
      <c r="M100" s="90">
        <f>SUM(H100:L100)</f>
        <v/>
      </c>
      <c r="N100" s="76" t="n"/>
      <c r="O100" s="77" t="n"/>
      <c r="P100" s="77" t="n"/>
      <c r="Q100" s="77" t="n"/>
      <c r="R100" s="77" t="n"/>
      <c r="S100" s="87" t="n"/>
      <c r="T100" s="90">
        <f>SUM(O100:S100)</f>
        <v/>
      </c>
      <c r="U100" s="76" t="n"/>
      <c r="V100" s="77" t="n"/>
      <c r="W100" s="77" t="n"/>
      <c r="X100" s="77" t="n"/>
      <c r="Y100" s="77" t="n"/>
      <c r="Z100" s="99" t="n"/>
      <c r="AA100" s="90">
        <f>SUM(V100:Z100)</f>
        <v/>
      </c>
      <c r="AB100" s="100">
        <f>H100+O100+V100</f>
        <v/>
      </c>
      <c r="AC100" s="62">
        <f>I100+P100+W100</f>
        <v/>
      </c>
      <c r="AD100" s="62">
        <f>J100+Q100+X100</f>
        <v/>
      </c>
      <c r="AE100" s="62">
        <f>K100+R100+Y100</f>
        <v/>
      </c>
      <c r="AF100" s="62">
        <f>L100+S100+Z100</f>
        <v/>
      </c>
      <c r="AG100" s="15">
        <f>M100+T100+AA100</f>
        <v/>
      </c>
      <c r="AH100" s="62">
        <f>G100+N100+U100</f>
        <v/>
      </c>
      <c r="AI100" s="63">
        <f>AG100-AH100</f>
        <v/>
      </c>
      <c r="AJ100" s="68" t="n"/>
    </row>
    <row r="101">
      <c r="A101" s="24" t="n"/>
      <c r="B101" s="113" t="inlineStr">
        <is>
          <t>SUBSCRIPTIONS &amp; MEMBERSHIPS</t>
        </is>
      </c>
      <c r="C101" s="24">
        <f>SUM(C102:C107)</f>
        <v/>
      </c>
      <c r="D101" s="24">
        <f>SUM(D102:D107)</f>
        <v/>
      </c>
      <c r="E101" s="24">
        <f>SUM(E102:E107)</f>
        <v/>
      </c>
      <c r="F101" s="69" t="n"/>
      <c r="G101" s="78">
        <f>SUM(G102:G107)</f>
        <v/>
      </c>
      <c r="H101" s="79">
        <f>SUM(H102:H107)</f>
        <v/>
      </c>
      <c r="I101" s="79">
        <f>SUM(I102:I107)</f>
        <v/>
      </c>
      <c r="J101" s="79">
        <f>SUM(J102:J107)</f>
        <v/>
      </c>
      <c r="K101" s="79">
        <f>SUM(K102:K107)</f>
        <v/>
      </c>
      <c r="L101" s="69">
        <f>SUM(L102:L107)</f>
        <v/>
      </c>
      <c r="M101" s="91">
        <f>SUM(M102:M107)</f>
        <v/>
      </c>
      <c r="N101" s="78">
        <f>SUM(N102:N107)</f>
        <v/>
      </c>
      <c r="O101" s="79">
        <f>SUM(O102:O107)</f>
        <v/>
      </c>
      <c r="P101" s="79">
        <f>SUM(P102:P107)</f>
        <v/>
      </c>
      <c r="Q101" s="79">
        <f>SUM(Q102:Q107)</f>
        <v/>
      </c>
      <c r="R101" s="79">
        <f>SUM(R102:R107)</f>
        <v/>
      </c>
      <c r="S101" s="69">
        <f>SUM(S102:S107)</f>
        <v/>
      </c>
      <c r="T101" s="91">
        <f>SUM(T102:T107)</f>
        <v/>
      </c>
      <c r="U101" s="78">
        <f>SUM(U102:U107)</f>
        <v/>
      </c>
      <c r="V101" s="79">
        <f>SUM(V102:V107)</f>
        <v/>
      </c>
      <c r="W101" s="79">
        <f>SUM(W102:W107)</f>
        <v/>
      </c>
      <c r="X101" s="79">
        <f>SUM(X102:X107)</f>
        <v/>
      </c>
      <c r="Y101" s="79">
        <f>SUM(Y102:Y107)</f>
        <v/>
      </c>
      <c r="Z101" s="80">
        <f>SUM(Z102:Z107)</f>
        <v/>
      </c>
      <c r="AA101" s="91">
        <f>SUM(AA102:AA107)</f>
        <v/>
      </c>
      <c r="AB101" s="71">
        <f>SUM(AB102:AB107)</f>
        <v/>
      </c>
      <c r="AC101" s="24">
        <f>SUM(AC102:AC107)</f>
        <v/>
      </c>
      <c r="AD101" s="24">
        <f>SUM(AD102:AD107)</f>
        <v/>
      </c>
      <c r="AE101" s="24">
        <f>SUM(AE102:AE107)</f>
        <v/>
      </c>
      <c r="AF101" s="24">
        <f>SUM(AF102:AF107)</f>
        <v/>
      </c>
      <c r="AG101" s="24">
        <f>SUM(AG102:AG107)</f>
        <v/>
      </c>
      <c r="AH101" s="24">
        <f>SUM(AH102:AH107)</f>
        <v/>
      </c>
      <c r="AI101" s="24">
        <f>SUM(AI102:AI107)</f>
        <v/>
      </c>
      <c r="AJ101" s="24" t="n"/>
    </row>
    <row r="102">
      <c r="A102" s="35">
        <f>EXPENSES!L100</f>
        <v/>
      </c>
      <c r="B102" s="36">
        <f>EXPENSES!B100</f>
        <v/>
      </c>
      <c r="C102" s="37">
        <f>EXPENSES!E100</f>
        <v/>
      </c>
      <c r="D102" s="37">
        <f>EXPENSES!I100</f>
        <v/>
      </c>
      <c r="E102" s="37">
        <f>C102+D102</f>
        <v/>
      </c>
      <c r="F102" s="70" t="n"/>
      <c r="G102" s="76" t="n"/>
      <c r="H102" s="77" t="n"/>
      <c r="I102" s="77" t="n"/>
      <c r="J102" s="77" t="n"/>
      <c r="K102" s="77" t="n"/>
      <c r="L102" s="87" t="n"/>
      <c r="M102" s="90">
        <f>SUM(H102:L102)</f>
        <v/>
      </c>
      <c r="N102" s="76" t="n"/>
      <c r="O102" s="77" t="n"/>
      <c r="P102" s="77" t="n"/>
      <c r="Q102" s="77" t="n"/>
      <c r="R102" s="77" t="n"/>
      <c r="S102" s="87" t="n"/>
      <c r="T102" s="90">
        <f>SUM(O102:S102)</f>
        <v/>
      </c>
      <c r="U102" s="76" t="n"/>
      <c r="V102" s="77" t="n"/>
      <c r="W102" s="77" t="n"/>
      <c r="X102" s="77" t="n"/>
      <c r="Y102" s="77" t="n"/>
      <c r="Z102" s="99" t="n"/>
      <c r="AA102" s="90">
        <f>SUM(V102:Z102)</f>
        <v/>
      </c>
      <c r="AB102" s="100">
        <f>H102+O102+V102</f>
        <v/>
      </c>
      <c r="AC102" s="62">
        <f>I102+P102+W102</f>
        <v/>
      </c>
      <c r="AD102" s="62">
        <f>J102+Q102+X102</f>
        <v/>
      </c>
      <c r="AE102" s="62">
        <f>K102+R102+Y102</f>
        <v/>
      </c>
      <c r="AF102" s="62">
        <f>L102+S102+Z102</f>
        <v/>
      </c>
      <c r="AG102" s="15">
        <f>M102+T102+AA102</f>
        <v/>
      </c>
      <c r="AH102" s="62">
        <f>G102+N102+U102</f>
        <v/>
      </c>
      <c r="AI102" s="63">
        <f>AG102-AH102</f>
        <v/>
      </c>
      <c r="AJ102" s="68" t="n"/>
    </row>
    <row r="103">
      <c r="A103" s="35">
        <f>EXPENSES!L101</f>
        <v/>
      </c>
      <c r="B103" s="36">
        <f>EXPENSES!B101</f>
        <v/>
      </c>
      <c r="C103" s="37">
        <f>EXPENSES!E101</f>
        <v/>
      </c>
      <c r="D103" s="37">
        <f>EXPENSES!I101</f>
        <v/>
      </c>
      <c r="E103" s="37">
        <f>C103+D103</f>
        <v/>
      </c>
      <c r="F103" s="70" t="n"/>
      <c r="G103" s="76" t="n"/>
      <c r="H103" s="77" t="n"/>
      <c r="I103" s="77" t="n"/>
      <c r="J103" s="77" t="n"/>
      <c r="K103" s="77" t="n"/>
      <c r="L103" s="87" t="n"/>
      <c r="M103" s="90">
        <f>SUM(H103:L103)</f>
        <v/>
      </c>
      <c r="N103" s="76" t="n"/>
      <c r="O103" s="77" t="n"/>
      <c r="P103" s="77" t="n"/>
      <c r="Q103" s="77" t="n"/>
      <c r="R103" s="77" t="n"/>
      <c r="S103" s="87" t="n"/>
      <c r="T103" s="90">
        <f>SUM(O103:S103)</f>
        <v/>
      </c>
      <c r="U103" s="76" t="n"/>
      <c r="V103" s="77" t="n"/>
      <c r="W103" s="77" t="n"/>
      <c r="X103" s="77" t="n"/>
      <c r="Y103" s="77" t="n"/>
      <c r="Z103" s="99" t="n"/>
      <c r="AA103" s="90">
        <f>SUM(V103:Z103)</f>
        <v/>
      </c>
      <c r="AB103" s="100">
        <f>H103+O103+V103</f>
        <v/>
      </c>
      <c r="AC103" s="62">
        <f>I103+P103+W103</f>
        <v/>
      </c>
      <c r="AD103" s="62">
        <f>J103+Q103+X103</f>
        <v/>
      </c>
      <c r="AE103" s="62">
        <f>K103+R103+Y103</f>
        <v/>
      </c>
      <c r="AF103" s="62">
        <f>L103+S103+Z103</f>
        <v/>
      </c>
      <c r="AG103" s="15">
        <f>M103+T103+AA103</f>
        <v/>
      </c>
      <c r="AH103" s="62">
        <f>G103+N103+U103</f>
        <v/>
      </c>
      <c r="AI103" s="63">
        <f>AG103-AH103</f>
        <v/>
      </c>
      <c r="AJ103" s="68" t="n"/>
    </row>
    <row r="104">
      <c r="A104" s="35">
        <f>EXPENSES!L102</f>
        <v/>
      </c>
      <c r="B104" s="36">
        <f>EXPENSES!B102</f>
        <v/>
      </c>
      <c r="C104" s="37">
        <f>EXPENSES!E102</f>
        <v/>
      </c>
      <c r="D104" s="37">
        <f>EXPENSES!I102</f>
        <v/>
      </c>
      <c r="E104" s="37">
        <f>C104+D104</f>
        <v/>
      </c>
      <c r="F104" s="70" t="n"/>
      <c r="G104" s="76" t="n"/>
      <c r="H104" s="77" t="n"/>
      <c r="I104" s="77" t="n"/>
      <c r="J104" s="77" t="n"/>
      <c r="K104" s="77" t="n"/>
      <c r="L104" s="87" t="n"/>
      <c r="M104" s="90">
        <f>SUM(H104:L104)</f>
        <v/>
      </c>
      <c r="N104" s="76" t="n"/>
      <c r="O104" s="77" t="n"/>
      <c r="P104" s="77" t="n"/>
      <c r="Q104" s="77" t="n"/>
      <c r="R104" s="77" t="n"/>
      <c r="S104" s="87" t="n"/>
      <c r="T104" s="90">
        <f>SUM(O104:S104)</f>
        <v/>
      </c>
      <c r="U104" s="76" t="n"/>
      <c r="V104" s="77" t="n"/>
      <c r="W104" s="77" t="n"/>
      <c r="X104" s="77" t="n"/>
      <c r="Y104" s="77" t="n"/>
      <c r="Z104" s="99" t="n"/>
      <c r="AA104" s="90">
        <f>SUM(V104:Z104)</f>
        <v/>
      </c>
      <c r="AB104" s="100">
        <f>H104+O104+V104</f>
        <v/>
      </c>
      <c r="AC104" s="62">
        <f>I104+P104+W104</f>
        <v/>
      </c>
      <c r="AD104" s="62">
        <f>J104+Q104+X104</f>
        <v/>
      </c>
      <c r="AE104" s="62">
        <f>K104+R104+Y104</f>
        <v/>
      </c>
      <c r="AF104" s="62">
        <f>L104+S104+Z104</f>
        <v/>
      </c>
      <c r="AG104" s="15">
        <f>M104+T104+AA104</f>
        <v/>
      </c>
      <c r="AH104" s="62">
        <f>G104+N104+U104</f>
        <v/>
      </c>
      <c r="AI104" s="63">
        <f>AG104-AH104</f>
        <v/>
      </c>
      <c r="AJ104" s="68" t="n"/>
    </row>
    <row r="105">
      <c r="A105" s="35">
        <f>EXPENSES!L103</f>
        <v/>
      </c>
      <c r="B105" s="36">
        <f>EXPENSES!B103</f>
        <v/>
      </c>
      <c r="C105" s="37">
        <f>EXPENSES!E103</f>
        <v/>
      </c>
      <c r="D105" s="37">
        <f>EXPENSES!I103</f>
        <v/>
      </c>
      <c r="E105" s="37">
        <f>C105+D105</f>
        <v/>
      </c>
      <c r="F105" s="70" t="n"/>
      <c r="G105" s="76" t="n"/>
      <c r="H105" s="77" t="n"/>
      <c r="I105" s="77" t="n"/>
      <c r="J105" s="77" t="n"/>
      <c r="K105" s="77" t="n"/>
      <c r="L105" s="87" t="n"/>
      <c r="M105" s="90">
        <f>SUM(H105:L105)</f>
        <v/>
      </c>
      <c r="N105" s="76" t="n"/>
      <c r="O105" s="77" t="n"/>
      <c r="P105" s="77" t="n"/>
      <c r="Q105" s="77" t="n"/>
      <c r="R105" s="77" t="n"/>
      <c r="S105" s="87" t="n"/>
      <c r="T105" s="90">
        <f>SUM(O105:S105)</f>
        <v/>
      </c>
      <c r="U105" s="76" t="n"/>
      <c r="V105" s="77" t="n"/>
      <c r="W105" s="77" t="n"/>
      <c r="X105" s="77" t="n"/>
      <c r="Y105" s="77" t="n"/>
      <c r="Z105" s="99" t="n"/>
      <c r="AA105" s="90">
        <f>SUM(V105:Z105)</f>
        <v/>
      </c>
      <c r="AB105" s="100">
        <f>H105+O105+V105</f>
        <v/>
      </c>
      <c r="AC105" s="62">
        <f>I105+P105+W105</f>
        <v/>
      </c>
      <c r="AD105" s="62">
        <f>J105+Q105+X105</f>
        <v/>
      </c>
      <c r="AE105" s="62">
        <f>K105+R105+Y105</f>
        <v/>
      </c>
      <c r="AF105" s="62">
        <f>L105+S105+Z105</f>
        <v/>
      </c>
      <c r="AG105" s="15">
        <f>M105+T105+AA105</f>
        <v/>
      </c>
      <c r="AH105" s="62">
        <f>G105+N105+U105</f>
        <v/>
      </c>
      <c r="AI105" s="63">
        <f>AG105-AH105</f>
        <v/>
      </c>
      <c r="AJ105" s="68" t="n"/>
    </row>
    <row r="106">
      <c r="A106" s="35">
        <f>EXPENSES!L104</f>
        <v/>
      </c>
      <c r="B106" s="36">
        <f>EXPENSES!B104</f>
        <v/>
      </c>
      <c r="C106" s="37">
        <f>EXPENSES!E104</f>
        <v/>
      </c>
      <c r="D106" s="37">
        <f>EXPENSES!I104</f>
        <v/>
      </c>
      <c r="E106" s="37">
        <f>C106+D106</f>
        <v/>
      </c>
      <c r="F106" s="70" t="n"/>
      <c r="G106" s="76" t="n"/>
      <c r="H106" s="77" t="n"/>
      <c r="I106" s="77" t="n"/>
      <c r="J106" s="77" t="n"/>
      <c r="K106" s="77" t="n"/>
      <c r="L106" s="87" t="n"/>
      <c r="M106" s="90">
        <f>SUM(H106:L106)</f>
        <v/>
      </c>
      <c r="N106" s="76" t="n"/>
      <c r="O106" s="77" t="n"/>
      <c r="P106" s="77" t="n"/>
      <c r="Q106" s="77" t="n"/>
      <c r="R106" s="77" t="n"/>
      <c r="S106" s="87" t="n"/>
      <c r="T106" s="90">
        <f>SUM(O106:S106)</f>
        <v/>
      </c>
      <c r="U106" s="76" t="n"/>
      <c r="V106" s="77" t="n"/>
      <c r="W106" s="77" t="n"/>
      <c r="X106" s="77" t="n"/>
      <c r="Y106" s="77" t="n"/>
      <c r="Z106" s="99" t="n"/>
      <c r="AA106" s="90">
        <f>SUM(V106:Z106)</f>
        <v/>
      </c>
      <c r="AB106" s="100">
        <f>H106+O106+V106</f>
        <v/>
      </c>
      <c r="AC106" s="62">
        <f>I106+P106+W106</f>
        <v/>
      </c>
      <c r="AD106" s="62">
        <f>J106+Q106+X106</f>
        <v/>
      </c>
      <c r="AE106" s="62">
        <f>K106+R106+Y106</f>
        <v/>
      </c>
      <c r="AF106" s="62">
        <f>L106+S106+Z106</f>
        <v/>
      </c>
      <c r="AG106" s="15">
        <f>M106+T106+AA106</f>
        <v/>
      </c>
      <c r="AH106" s="62">
        <f>G106+N106+U106</f>
        <v/>
      </c>
      <c r="AI106" s="63">
        <f>AG106-AH106</f>
        <v/>
      </c>
      <c r="AJ106" s="68" t="n"/>
    </row>
    <row r="107">
      <c r="A107" s="35">
        <f>EXPENSES!L105</f>
        <v/>
      </c>
      <c r="B107" s="36">
        <f>EXPENSES!B105</f>
        <v/>
      </c>
      <c r="C107" s="37">
        <f>EXPENSES!E105</f>
        <v/>
      </c>
      <c r="D107" s="37">
        <f>EXPENSES!I105</f>
        <v/>
      </c>
      <c r="E107" s="37">
        <f>C107+D107</f>
        <v/>
      </c>
      <c r="F107" s="70" t="n"/>
      <c r="G107" s="76" t="n"/>
      <c r="H107" s="77" t="n"/>
      <c r="I107" s="77" t="n"/>
      <c r="J107" s="77" t="n"/>
      <c r="K107" s="77" t="n"/>
      <c r="L107" s="87" t="n"/>
      <c r="M107" s="90">
        <f>SUM(H107:L107)</f>
        <v/>
      </c>
      <c r="N107" s="76" t="n"/>
      <c r="O107" s="77" t="n"/>
      <c r="P107" s="77" t="n"/>
      <c r="Q107" s="77" t="n"/>
      <c r="R107" s="77" t="n"/>
      <c r="S107" s="87" t="n"/>
      <c r="T107" s="90">
        <f>SUM(O107:S107)</f>
        <v/>
      </c>
      <c r="U107" s="76" t="n"/>
      <c r="V107" s="77" t="n"/>
      <c r="W107" s="77" t="n"/>
      <c r="X107" s="77" t="n"/>
      <c r="Y107" s="77" t="n"/>
      <c r="Z107" s="99" t="n"/>
      <c r="AA107" s="90">
        <f>SUM(V107:Z107)</f>
        <v/>
      </c>
      <c r="AB107" s="100">
        <f>H107+O107+V107</f>
        <v/>
      </c>
      <c r="AC107" s="62">
        <f>I107+P107+W107</f>
        <v/>
      </c>
      <c r="AD107" s="62">
        <f>J107+Q107+X107</f>
        <v/>
      </c>
      <c r="AE107" s="62">
        <f>K107+R107+Y107</f>
        <v/>
      </c>
      <c r="AF107" s="62">
        <f>L107+S107+Z107</f>
        <v/>
      </c>
      <c r="AG107" s="15">
        <f>M107+T107+AA107</f>
        <v/>
      </c>
      <c r="AH107" s="62">
        <f>G107+N107+U107</f>
        <v/>
      </c>
      <c r="AI107" s="63">
        <f>AG107-AH107</f>
        <v/>
      </c>
      <c r="AJ107" s="68" t="n"/>
    </row>
    <row r="108">
      <c r="A108" s="24" t="n"/>
      <c r="B108" s="113" t="inlineStr">
        <is>
          <t>RECREATION &amp; DISCRETIONARY</t>
        </is>
      </c>
      <c r="C108" s="24">
        <f>SUM(C109:C115)</f>
        <v/>
      </c>
      <c r="D108" s="24">
        <f>SUM(D109:D115)</f>
        <v/>
      </c>
      <c r="E108" s="24">
        <f>SUM(E109:E115)</f>
        <v/>
      </c>
      <c r="F108" s="69" t="n"/>
      <c r="G108" s="78">
        <f>SUM(G109:G115)</f>
        <v/>
      </c>
      <c r="H108" s="79">
        <f>SUM(H109:H115)</f>
        <v/>
      </c>
      <c r="I108" s="79">
        <f>SUM(I109:I115)</f>
        <v/>
      </c>
      <c r="J108" s="79">
        <f>SUM(J109:J115)</f>
        <v/>
      </c>
      <c r="K108" s="79">
        <f>SUM(K109:K115)</f>
        <v/>
      </c>
      <c r="L108" s="69">
        <f>SUM(L109:L115)</f>
        <v/>
      </c>
      <c r="M108" s="91">
        <f>SUM(M109:M115)</f>
        <v/>
      </c>
      <c r="N108" s="78">
        <f>SUM(N109:N115)</f>
        <v/>
      </c>
      <c r="O108" s="79">
        <f>SUM(O109:O115)</f>
        <v/>
      </c>
      <c r="P108" s="79">
        <f>SUM(P109:P115)</f>
        <v/>
      </c>
      <c r="Q108" s="79">
        <f>SUM(Q109:Q115)</f>
        <v/>
      </c>
      <c r="R108" s="79">
        <f>SUM(R109:R115)</f>
        <v/>
      </c>
      <c r="S108" s="69">
        <f>SUM(S109:S115)</f>
        <v/>
      </c>
      <c r="T108" s="91">
        <f>SUM(T109:T115)</f>
        <v/>
      </c>
      <c r="U108" s="78">
        <f>SUM(U109:U115)</f>
        <v/>
      </c>
      <c r="V108" s="79">
        <f>SUM(V109:V115)</f>
        <v/>
      </c>
      <c r="W108" s="79">
        <f>SUM(W109:W115)</f>
        <v/>
      </c>
      <c r="X108" s="79">
        <f>SUM(X109:X115)</f>
        <v/>
      </c>
      <c r="Y108" s="79">
        <f>SUM(Y109:Y115)</f>
        <v/>
      </c>
      <c r="Z108" s="80">
        <f>SUM(Z109:Z115)</f>
        <v/>
      </c>
      <c r="AA108" s="91">
        <f>SUM(AA109:AA115)</f>
        <v/>
      </c>
      <c r="AB108" s="71">
        <f>SUM(AB109:AB115)</f>
        <v/>
      </c>
      <c r="AC108" s="24">
        <f>SUM(AC109:AC115)</f>
        <v/>
      </c>
      <c r="AD108" s="24">
        <f>SUM(AD109:AD115)</f>
        <v/>
      </c>
      <c r="AE108" s="24">
        <f>SUM(AE109:AE115)</f>
        <v/>
      </c>
      <c r="AF108" s="24">
        <f>SUM(AF109:AF115)</f>
        <v/>
      </c>
      <c r="AG108" s="24">
        <f>SUM(AG109:AG115)</f>
        <v/>
      </c>
      <c r="AH108" s="24">
        <f>SUM(AH109:AH115)</f>
        <v/>
      </c>
      <c r="AI108" s="24">
        <f>SUM(AI109:AI115)</f>
        <v/>
      </c>
      <c r="AJ108" s="24" t="n"/>
    </row>
    <row r="109">
      <c r="A109" s="35">
        <f>EXPENSES!L107</f>
        <v/>
      </c>
      <c r="B109" s="36">
        <f>EXPENSES!B107</f>
        <v/>
      </c>
      <c r="C109" s="37">
        <f>EXPENSES!E107</f>
        <v/>
      </c>
      <c r="D109" s="37">
        <f>EXPENSES!I107</f>
        <v/>
      </c>
      <c r="E109" s="37">
        <f>C109+D109</f>
        <v/>
      </c>
      <c r="F109" s="70" t="n"/>
      <c r="G109" s="76" t="n"/>
      <c r="H109" s="77" t="n"/>
      <c r="I109" s="77" t="n"/>
      <c r="J109" s="77" t="n"/>
      <c r="K109" s="77" t="n"/>
      <c r="L109" s="87" t="n"/>
      <c r="M109" s="90">
        <f>SUM(H109:L109)</f>
        <v/>
      </c>
      <c r="N109" s="76" t="n"/>
      <c r="O109" s="77" t="n"/>
      <c r="P109" s="77" t="n"/>
      <c r="Q109" s="77" t="n"/>
      <c r="R109" s="77" t="n"/>
      <c r="S109" s="87" t="n"/>
      <c r="T109" s="90">
        <f>SUM(O109:S109)</f>
        <v/>
      </c>
      <c r="U109" s="76" t="n"/>
      <c r="V109" s="77" t="n"/>
      <c r="W109" s="77" t="n"/>
      <c r="X109" s="77" t="n"/>
      <c r="Y109" s="77" t="n"/>
      <c r="Z109" s="99" t="n"/>
      <c r="AA109" s="90">
        <f>SUM(V109:Z109)</f>
        <v/>
      </c>
      <c r="AB109" s="100">
        <f>H109+O109+V109</f>
        <v/>
      </c>
      <c r="AC109" s="62">
        <f>I109+P109+W109</f>
        <v/>
      </c>
      <c r="AD109" s="62">
        <f>J109+Q109+X109</f>
        <v/>
      </c>
      <c r="AE109" s="62">
        <f>K109+R109+Y109</f>
        <v/>
      </c>
      <c r="AF109" s="62">
        <f>L109+S109+Z109</f>
        <v/>
      </c>
      <c r="AG109" s="15">
        <f>M109+T109+AA109</f>
        <v/>
      </c>
      <c r="AH109" s="62">
        <f>G109+N109+U109</f>
        <v/>
      </c>
      <c r="AI109" s="63">
        <f>AG109-AH109</f>
        <v/>
      </c>
      <c r="AJ109" s="68" t="n"/>
    </row>
    <row r="110">
      <c r="A110" s="35">
        <f>EXPENSES!L108</f>
        <v/>
      </c>
      <c r="B110" s="36">
        <f>EXPENSES!B108</f>
        <v/>
      </c>
      <c r="C110" s="37">
        <f>EXPENSES!E108</f>
        <v/>
      </c>
      <c r="D110" s="37">
        <f>EXPENSES!I108</f>
        <v/>
      </c>
      <c r="E110" s="37">
        <f>C110+D110</f>
        <v/>
      </c>
      <c r="F110" s="70" t="n"/>
      <c r="G110" s="76" t="n"/>
      <c r="H110" s="77" t="n"/>
      <c r="I110" s="77" t="n"/>
      <c r="J110" s="77" t="n"/>
      <c r="K110" s="77" t="n"/>
      <c r="L110" s="87" t="n"/>
      <c r="M110" s="90">
        <f>SUM(H110:L110)</f>
        <v/>
      </c>
      <c r="N110" s="76" t="n"/>
      <c r="O110" s="77" t="n"/>
      <c r="P110" s="77" t="n"/>
      <c r="Q110" s="77" t="n"/>
      <c r="R110" s="77" t="n"/>
      <c r="S110" s="87" t="n"/>
      <c r="T110" s="90">
        <f>SUM(O110:S110)</f>
        <v/>
      </c>
      <c r="U110" s="76" t="n"/>
      <c r="V110" s="77" t="n"/>
      <c r="W110" s="77" t="n"/>
      <c r="X110" s="77" t="n"/>
      <c r="Y110" s="77" t="n"/>
      <c r="Z110" s="99" t="n"/>
      <c r="AA110" s="90">
        <f>SUM(V110:Z110)</f>
        <v/>
      </c>
      <c r="AB110" s="100">
        <f>H110+O110+V110</f>
        <v/>
      </c>
      <c r="AC110" s="62">
        <f>I110+P110+W110</f>
        <v/>
      </c>
      <c r="AD110" s="62">
        <f>J110+Q110+X110</f>
        <v/>
      </c>
      <c r="AE110" s="62">
        <f>K110+R110+Y110</f>
        <v/>
      </c>
      <c r="AF110" s="62">
        <f>L110+S110+Z110</f>
        <v/>
      </c>
      <c r="AG110" s="15">
        <f>M110+T110+AA110</f>
        <v/>
      </c>
      <c r="AH110" s="62">
        <f>G110+N110+U110</f>
        <v/>
      </c>
      <c r="AI110" s="63">
        <f>AG110-AH110</f>
        <v/>
      </c>
      <c r="AJ110" s="68" t="n"/>
    </row>
    <row r="111">
      <c r="A111" s="35">
        <f>EXPENSES!L109</f>
        <v/>
      </c>
      <c r="B111" s="36">
        <f>EXPENSES!B109</f>
        <v/>
      </c>
      <c r="C111" s="37">
        <f>EXPENSES!E109</f>
        <v/>
      </c>
      <c r="D111" s="37">
        <f>EXPENSES!I109</f>
        <v/>
      </c>
      <c r="E111" s="37">
        <f>C111+D111</f>
        <v/>
      </c>
      <c r="F111" s="70" t="n"/>
      <c r="G111" s="76" t="n"/>
      <c r="H111" s="77" t="n"/>
      <c r="I111" s="77" t="n"/>
      <c r="J111" s="77" t="n"/>
      <c r="K111" s="77" t="n"/>
      <c r="L111" s="87" t="n"/>
      <c r="M111" s="90">
        <f>SUM(H111:L111)</f>
        <v/>
      </c>
      <c r="N111" s="76" t="n"/>
      <c r="O111" s="77" t="n"/>
      <c r="P111" s="77" t="n"/>
      <c r="Q111" s="77" t="n"/>
      <c r="R111" s="77" t="n"/>
      <c r="S111" s="87" t="n"/>
      <c r="T111" s="90">
        <f>SUM(O111:S111)</f>
        <v/>
      </c>
      <c r="U111" s="76" t="n"/>
      <c r="V111" s="77" t="n"/>
      <c r="W111" s="77" t="n"/>
      <c r="X111" s="77" t="n"/>
      <c r="Y111" s="77" t="n"/>
      <c r="Z111" s="99" t="n"/>
      <c r="AA111" s="90">
        <f>SUM(V111:Z111)</f>
        <v/>
      </c>
      <c r="AB111" s="100">
        <f>H111+O111+V111</f>
        <v/>
      </c>
      <c r="AC111" s="62">
        <f>I111+P111+W111</f>
        <v/>
      </c>
      <c r="AD111" s="62">
        <f>J111+Q111+X111</f>
        <v/>
      </c>
      <c r="AE111" s="62">
        <f>K111+R111+Y111</f>
        <v/>
      </c>
      <c r="AF111" s="62">
        <f>L111+S111+Z111</f>
        <v/>
      </c>
      <c r="AG111" s="15">
        <f>M111+T111+AA111</f>
        <v/>
      </c>
      <c r="AH111" s="62">
        <f>G111+N111+U111</f>
        <v/>
      </c>
      <c r="AI111" s="63">
        <f>AG111-AH111</f>
        <v/>
      </c>
      <c r="AJ111" s="68" t="n"/>
    </row>
    <row r="112">
      <c r="A112" s="35">
        <f>EXPENSES!L110</f>
        <v/>
      </c>
      <c r="B112" s="36">
        <f>EXPENSES!B110</f>
        <v/>
      </c>
      <c r="C112" s="37">
        <f>EXPENSES!E110</f>
        <v/>
      </c>
      <c r="D112" s="37">
        <f>EXPENSES!I110</f>
        <v/>
      </c>
      <c r="E112" s="37">
        <f>C112+D112</f>
        <v/>
      </c>
      <c r="F112" s="70" t="n"/>
      <c r="G112" s="76" t="n"/>
      <c r="H112" s="77" t="n"/>
      <c r="I112" s="77" t="n"/>
      <c r="J112" s="77" t="n"/>
      <c r="K112" s="77" t="n"/>
      <c r="L112" s="87" t="n"/>
      <c r="M112" s="90">
        <f>SUM(H112:L112)</f>
        <v/>
      </c>
      <c r="N112" s="76" t="n"/>
      <c r="O112" s="77" t="n"/>
      <c r="P112" s="77" t="n"/>
      <c r="Q112" s="77" t="n"/>
      <c r="R112" s="77" t="n"/>
      <c r="S112" s="87" t="n"/>
      <c r="T112" s="90">
        <f>SUM(O112:S112)</f>
        <v/>
      </c>
      <c r="U112" s="76" t="n"/>
      <c r="V112" s="77" t="n"/>
      <c r="W112" s="77" t="n"/>
      <c r="X112" s="77" t="n"/>
      <c r="Y112" s="77" t="n"/>
      <c r="Z112" s="99" t="n"/>
      <c r="AA112" s="90">
        <f>SUM(V112:Z112)</f>
        <v/>
      </c>
      <c r="AB112" s="100">
        <f>H112+O112+V112</f>
        <v/>
      </c>
      <c r="AC112" s="62">
        <f>I112+P112+W112</f>
        <v/>
      </c>
      <c r="AD112" s="62">
        <f>J112+Q112+X112</f>
        <v/>
      </c>
      <c r="AE112" s="62">
        <f>K112+R112+Y112</f>
        <v/>
      </c>
      <c r="AF112" s="62">
        <f>L112+S112+Z112</f>
        <v/>
      </c>
      <c r="AG112" s="15">
        <f>M112+T112+AA112</f>
        <v/>
      </c>
      <c r="AH112" s="62">
        <f>G112+N112+U112</f>
        <v/>
      </c>
      <c r="AI112" s="63">
        <f>AG112-AH112</f>
        <v/>
      </c>
      <c r="AJ112" s="68" t="n"/>
    </row>
    <row r="113">
      <c r="A113" s="35">
        <f>EXPENSES!L111</f>
        <v/>
      </c>
      <c r="B113" s="36">
        <f>EXPENSES!B111</f>
        <v/>
      </c>
      <c r="C113" s="37">
        <f>EXPENSES!E111</f>
        <v/>
      </c>
      <c r="D113" s="37">
        <f>EXPENSES!I111</f>
        <v/>
      </c>
      <c r="E113" s="37">
        <f>C113+D113</f>
        <v/>
      </c>
      <c r="F113" s="70" t="n"/>
      <c r="G113" s="76" t="n"/>
      <c r="H113" s="77" t="n"/>
      <c r="I113" s="77" t="n"/>
      <c r="J113" s="77" t="n"/>
      <c r="K113" s="77" t="n"/>
      <c r="L113" s="87" t="n"/>
      <c r="M113" s="90">
        <f>SUM(H113:L113)</f>
        <v/>
      </c>
      <c r="N113" s="76" t="n"/>
      <c r="O113" s="77" t="n"/>
      <c r="P113" s="77" t="n"/>
      <c r="Q113" s="77" t="n"/>
      <c r="R113" s="77" t="n"/>
      <c r="S113" s="87" t="n"/>
      <c r="T113" s="90">
        <f>SUM(O113:S113)</f>
        <v/>
      </c>
      <c r="U113" s="76" t="n"/>
      <c r="V113" s="77" t="n"/>
      <c r="W113" s="77" t="n"/>
      <c r="X113" s="77" t="n"/>
      <c r="Y113" s="77" t="n"/>
      <c r="Z113" s="99" t="n"/>
      <c r="AA113" s="90">
        <f>SUM(V113:Z113)</f>
        <v/>
      </c>
      <c r="AB113" s="100">
        <f>H113+O113+V113</f>
        <v/>
      </c>
      <c r="AC113" s="62">
        <f>I113+P113+W113</f>
        <v/>
      </c>
      <c r="AD113" s="62">
        <f>J113+Q113+X113</f>
        <v/>
      </c>
      <c r="AE113" s="62">
        <f>K113+R113+Y113</f>
        <v/>
      </c>
      <c r="AF113" s="62">
        <f>L113+S113+Z113</f>
        <v/>
      </c>
      <c r="AG113" s="15">
        <f>M113+T113+AA113</f>
        <v/>
      </c>
      <c r="AH113" s="62">
        <f>G113+N113+U113</f>
        <v/>
      </c>
      <c r="AI113" s="63">
        <f>AG113-AH113</f>
        <v/>
      </c>
      <c r="AJ113" s="68" t="n"/>
    </row>
    <row r="114">
      <c r="A114" s="35">
        <f>EXPENSES!L112</f>
        <v/>
      </c>
      <c r="B114" s="36">
        <f>EXPENSES!B112</f>
        <v/>
      </c>
      <c r="C114" s="37">
        <f>EXPENSES!E112</f>
        <v/>
      </c>
      <c r="D114" s="37">
        <f>EXPENSES!I112</f>
        <v/>
      </c>
      <c r="E114" s="37">
        <f>C114+D114</f>
        <v/>
      </c>
      <c r="F114" s="70" t="n"/>
      <c r="G114" s="76" t="n"/>
      <c r="H114" s="77" t="n"/>
      <c r="I114" s="77" t="n"/>
      <c r="J114" s="77" t="n"/>
      <c r="K114" s="77" t="n"/>
      <c r="L114" s="87" t="n"/>
      <c r="M114" s="90">
        <f>SUM(H114:L114)</f>
        <v/>
      </c>
      <c r="N114" s="76" t="n"/>
      <c r="O114" s="77" t="n"/>
      <c r="P114" s="77" t="n"/>
      <c r="Q114" s="77" t="n"/>
      <c r="R114" s="77" t="n"/>
      <c r="S114" s="87" t="n"/>
      <c r="T114" s="90">
        <f>SUM(O114:S114)</f>
        <v/>
      </c>
      <c r="U114" s="76" t="n"/>
      <c r="V114" s="77" t="n"/>
      <c r="W114" s="77" t="n"/>
      <c r="X114" s="77" t="n"/>
      <c r="Y114" s="77" t="n"/>
      <c r="Z114" s="99" t="n"/>
      <c r="AA114" s="90">
        <f>SUM(V114:Z114)</f>
        <v/>
      </c>
      <c r="AB114" s="100">
        <f>H114+O114+V114</f>
        <v/>
      </c>
      <c r="AC114" s="62">
        <f>I114+P114+W114</f>
        <v/>
      </c>
      <c r="AD114" s="62">
        <f>J114+Q114+X114</f>
        <v/>
      </c>
      <c r="AE114" s="62">
        <f>K114+R114+Y114</f>
        <v/>
      </c>
      <c r="AF114" s="62">
        <f>L114+S114+Z114</f>
        <v/>
      </c>
      <c r="AG114" s="15">
        <f>M114+T114+AA114</f>
        <v/>
      </c>
      <c r="AH114" s="62">
        <f>G114+N114+U114</f>
        <v/>
      </c>
      <c r="AI114" s="63">
        <f>AG114-AH114</f>
        <v/>
      </c>
      <c r="AJ114" s="68" t="n"/>
    </row>
    <row r="115">
      <c r="A115" s="35">
        <f>EXPENSES!L113</f>
        <v/>
      </c>
      <c r="B115" s="36">
        <f>EXPENSES!B113</f>
        <v/>
      </c>
      <c r="C115" s="37">
        <f>EXPENSES!E113</f>
        <v/>
      </c>
      <c r="D115" s="37">
        <f>EXPENSES!I113</f>
        <v/>
      </c>
      <c r="E115" s="37">
        <f>C115+D115</f>
        <v/>
      </c>
      <c r="F115" s="70" t="n"/>
      <c r="G115" s="76" t="n"/>
      <c r="H115" s="77" t="n"/>
      <c r="I115" s="77" t="n"/>
      <c r="J115" s="77" t="n"/>
      <c r="K115" s="77" t="n"/>
      <c r="L115" s="87" t="n"/>
      <c r="M115" s="90">
        <f>SUM(H115:L115)</f>
        <v/>
      </c>
      <c r="N115" s="76" t="n"/>
      <c r="O115" s="77" t="n"/>
      <c r="P115" s="77" t="n"/>
      <c r="Q115" s="77" t="n"/>
      <c r="R115" s="77" t="n"/>
      <c r="S115" s="87" t="n"/>
      <c r="T115" s="90">
        <f>SUM(O115:S115)</f>
        <v/>
      </c>
      <c r="U115" s="76" t="n"/>
      <c r="V115" s="77" t="n"/>
      <c r="W115" s="77" t="n"/>
      <c r="X115" s="77" t="n"/>
      <c r="Y115" s="77" t="n"/>
      <c r="Z115" s="99" t="n"/>
      <c r="AA115" s="90">
        <f>SUM(V115:Z115)</f>
        <v/>
      </c>
      <c r="AB115" s="100">
        <f>H115+O115+V115</f>
        <v/>
      </c>
      <c r="AC115" s="62">
        <f>I115+P115+W115</f>
        <v/>
      </c>
      <c r="AD115" s="62">
        <f>J115+Q115+X115</f>
        <v/>
      </c>
      <c r="AE115" s="62">
        <f>K115+R115+Y115</f>
        <v/>
      </c>
      <c r="AF115" s="62">
        <f>L115+S115+Z115</f>
        <v/>
      </c>
      <c r="AG115" s="15">
        <f>M115+T115+AA115</f>
        <v/>
      </c>
      <c r="AH115" s="62">
        <f>G115+N115+U115</f>
        <v/>
      </c>
      <c r="AI115" s="63">
        <f>AG115-AH115</f>
        <v/>
      </c>
      <c r="AJ115" s="68" t="n"/>
    </row>
    <row r="116">
      <c r="A116" s="24" t="n"/>
      <c r="B116" s="113" t="inlineStr">
        <is>
          <t>SAVINGS &amp; EMERGENCY</t>
        </is>
      </c>
      <c r="C116" s="24">
        <f>SUM(C117:C121)</f>
        <v/>
      </c>
      <c r="D116" s="24">
        <f>SUM(D117:D121)</f>
        <v/>
      </c>
      <c r="E116" s="24">
        <f>SUM(E117:E121)</f>
        <v/>
      </c>
      <c r="F116" s="69" t="n"/>
      <c r="G116" s="78">
        <f>SUM(G117:G121)</f>
        <v/>
      </c>
      <c r="H116" s="79">
        <f>SUM(H117:H121)</f>
        <v/>
      </c>
      <c r="I116" s="79">
        <f>SUM(I117:I121)</f>
        <v/>
      </c>
      <c r="J116" s="79">
        <f>SUM(J117:J121)</f>
        <v/>
      </c>
      <c r="K116" s="79">
        <f>SUM(K117:K121)</f>
        <v/>
      </c>
      <c r="L116" s="69">
        <f>SUM(L117:L121)</f>
        <v/>
      </c>
      <c r="M116" s="91">
        <f>SUM(M117:M121)</f>
        <v/>
      </c>
      <c r="N116" s="78">
        <f>SUM(N117:N121)</f>
        <v/>
      </c>
      <c r="O116" s="79">
        <f>SUM(O117:O121)</f>
        <v/>
      </c>
      <c r="P116" s="79">
        <f>SUM(P117:P121)</f>
        <v/>
      </c>
      <c r="Q116" s="79">
        <f>SUM(Q117:Q121)</f>
        <v/>
      </c>
      <c r="R116" s="79">
        <f>SUM(R117:R121)</f>
        <v/>
      </c>
      <c r="S116" s="69">
        <f>SUM(S117:S121)</f>
        <v/>
      </c>
      <c r="T116" s="91">
        <f>SUM(T117:T121)</f>
        <v/>
      </c>
      <c r="U116" s="78">
        <f>SUM(U117:U121)</f>
        <v/>
      </c>
      <c r="V116" s="79">
        <f>SUM(V117:V121)</f>
        <v/>
      </c>
      <c r="W116" s="79">
        <f>SUM(W117:W121)</f>
        <v/>
      </c>
      <c r="X116" s="79">
        <f>SUM(X117:X121)</f>
        <v/>
      </c>
      <c r="Y116" s="79">
        <f>SUM(Y117:Y121)</f>
        <v/>
      </c>
      <c r="Z116" s="80">
        <f>SUM(Z117:Z121)</f>
        <v/>
      </c>
      <c r="AA116" s="91">
        <f>SUM(AA117:AA121)</f>
        <v/>
      </c>
      <c r="AB116" s="71">
        <f>SUM(AB117:AB121)</f>
        <v/>
      </c>
      <c r="AC116" s="24">
        <f>SUM(AC117:AC121)</f>
        <v/>
      </c>
      <c r="AD116" s="24">
        <f>SUM(AD117:AD121)</f>
        <v/>
      </c>
      <c r="AE116" s="24">
        <f>SUM(AE117:AE121)</f>
        <v/>
      </c>
      <c r="AF116" s="24">
        <f>SUM(AF117:AF121)</f>
        <v/>
      </c>
      <c r="AG116" s="24">
        <f>SUM(AG117:AG121)</f>
        <v/>
      </c>
      <c r="AH116" s="24">
        <f>SUM(AH117:AH121)</f>
        <v/>
      </c>
      <c r="AI116" s="24">
        <f>SUM(AI117:AI121)</f>
        <v/>
      </c>
      <c r="AJ116" s="24" t="n"/>
    </row>
    <row r="117">
      <c r="A117" s="35">
        <f>EXPENSES!L115</f>
        <v/>
      </c>
      <c r="B117" s="36">
        <f>EXPENSES!B115</f>
        <v/>
      </c>
      <c r="C117" s="37">
        <f>EXPENSES!E115</f>
        <v/>
      </c>
      <c r="D117" s="37">
        <f>EXPENSES!I115</f>
        <v/>
      </c>
      <c r="E117" s="37">
        <f>C117+D117</f>
        <v/>
      </c>
      <c r="F117" s="70" t="n"/>
      <c r="G117" s="76" t="n"/>
      <c r="H117" s="77" t="n"/>
      <c r="I117" s="77" t="n"/>
      <c r="J117" s="77" t="n"/>
      <c r="K117" s="77" t="n"/>
      <c r="L117" s="87" t="n"/>
      <c r="M117" s="90">
        <f>SUM(H117:L117)</f>
        <v/>
      </c>
      <c r="N117" s="76" t="n"/>
      <c r="O117" s="77" t="n"/>
      <c r="P117" s="77" t="n"/>
      <c r="Q117" s="77" t="n"/>
      <c r="R117" s="77" t="n"/>
      <c r="S117" s="87" t="n"/>
      <c r="T117" s="90">
        <f>SUM(O117:S117)</f>
        <v/>
      </c>
      <c r="U117" s="76" t="n"/>
      <c r="V117" s="77" t="n"/>
      <c r="W117" s="77" t="n"/>
      <c r="X117" s="77" t="n"/>
      <c r="Y117" s="77" t="n"/>
      <c r="Z117" s="99" t="n"/>
      <c r="AA117" s="90">
        <f>SUM(V117:Z117)</f>
        <v/>
      </c>
      <c r="AB117" s="100">
        <f>H117+O117+V117</f>
        <v/>
      </c>
      <c r="AC117" s="62">
        <f>I117+P117+W117</f>
        <v/>
      </c>
      <c r="AD117" s="62">
        <f>J117+Q117+X117</f>
        <v/>
      </c>
      <c r="AE117" s="62">
        <f>K117+R117+Y117</f>
        <v/>
      </c>
      <c r="AF117" s="62">
        <f>L117+S117+Z117</f>
        <v/>
      </c>
      <c r="AG117" s="15">
        <f>M117+T117+AA117</f>
        <v/>
      </c>
      <c r="AH117" s="62">
        <f>G117+N117+U117</f>
        <v/>
      </c>
      <c r="AI117" s="63">
        <f>AG117-AH117</f>
        <v/>
      </c>
      <c r="AJ117" s="68" t="n"/>
    </row>
    <row r="118">
      <c r="A118" s="35">
        <f>EXPENSES!L116</f>
        <v/>
      </c>
      <c r="B118" s="36">
        <f>EXPENSES!B116</f>
        <v/>
      </c>
      <c r="C118" s="37">
        <f>EXPENSES!E116</f>
        <v/>
      </c>
      <c r="D118" s="37">
        <f>EXPENSES!I116</f>
        <v/>
      </c>
      <c r="E118" s="37">
        <f>C118+D118</f>
        <v/>
      </c>
      <c r="F118" s="70" t="n"/>
      <c r="G118" s="76" t="n"/>
      <c r="H118" s="77" t="n"/>
      <c r="I118" s="77" t="n"/>
      <c r="J118" s="77" t="n"/>
      <c r="K118" s="77" t="n"/>
      <c r="L118" s="87" t="n"/>
      <c r="M118" s="90">
        <f>SUM(H118:L118)</f>
        <v/>
      </c>
      <c r="N118" s="76" t="n"/>
      <c r="O118" s="77" t="n"/>
      <c r="P118" s="77" t="n"/>
      <c r="Q118" s="77" t="n"/>
      <c r="R118" s="77" t="n"/>
      <c r="S118" s="87" t="n"/>
      <c r="T118" s="90">
        <f>SUM(O118:S118)</f>
        <v/>
      </c>
      <c r="U118" s="76" t="n"/>
      <c r="V118" s="77" t="n"/>
      <c r="W118" s="77" t="n"/>
      <c r="X118" s="77" t="n"/>
      <c r="Y118" s="77" t="n"/>
      <c r="Z118" s="99" t="n"/>
      <c r="AA118" s="90">
        <f>SUM(V118:Z118)</f>
        <v/>
      </c>
      <c r="AB118" s="100">
        <f>H118+O118+V118</f>
        <v/>
      </c>
      <c r="AC118" s="62">
        <f>I118+P118+W118</f>
        <v/>
      </c>
      <c r="AD118" s="62">
        <f>J118+Q118+X118</f>
        <v/>
      </c>
      <c r="AE118" s="62">
        <f>K118+R118+Y118</f>
        <v/>
      </c>
      <c r="AF118" s="62">
        <f>L118+S118+Z118</f>
        <v/>
      </c>
      <c r="AG118" s="15">
        <f>M118+T118+AA118</f>
        <v/>
      </c>
      <c r="AH118" s="62">
        <f>G118+N118+U118</f>
        <v/>
      </c>
      <c r="AI118" s="63">
        <f>AG118-AH118</f>
        <v/>
      </c>
      <c r="AJ118" s="68" t="n"/>
    </row>
    <row r="119">
      <c r="A119" s="35">
        <f>EXPENSES!L117</f>
        <v/>
      </c>
      <c r="B119" s="36">
        <f>EXPENSES!B117</f>
        <v/>
      </c>
      <c r="C119" s="37">
        <f>EXPENSES!E117</f>
        <v/>
      </c>
      <c r="D119" s="37">
        <f>EXPENSES!I117</f>
        <v/>
      </c>
      <c r="E119" s="37">
        <f>C119+D119</f>
        <v/>
      </c>
      <c r="F119" s="70" t="n"/>
      <c r="G119" s="76" t="n"/>
      <c r="H119" s="77" t="n"/>
      <c r="I119" s="77" t="n"/>
      <c r="J119" s="77" t="n"/>
      <c r="K119" s="77" t="n"/>
      <c r="L119" s="87" t="n"/>
      <c r="M119" s="90">
        <f>SUM(H119:L119)</f>
        <v/>
      </c>
      <c r="N119" s="76" t="n"/>
      <c r="O119" s="77" t="n"/>
      <c r="P119" s="77" t="n"/>
      <c r="Q119" s="77" t="n"/>
      <c r="R119" s="77" t="n"/>
      <c r="S119" s="87" t="n"/>
      <c r="T119" s="90">
        <f>SUM(O119:S119)</f>
        <v/>
      </c>
      <c r="U119" s="76" t="n"/>
      <c r="V119" s="77" t="n"/>
      <c r="W119" s="77" t="n"/>
      <c r="X119" s="77" t="n"/>
      <c r="Y119" s="77" t="n"/>
      <c r="Z119" s="99" t="n"/>
      <c r="AA119" s="90">
        <f>SUM(V119:Z119)</f>
        <v/>
      </c>
      <c r="AB119" s="100">
        <f>H119+O119+V119</f>
        <v/>
      </c>
      <c r="AC119" s="62">
        <f>I119+P119+W119</f>
        <v/>
      </c>
      <c r="AD119" s="62">
        <f>J119+Q119+X119</f>
        <v/>
      </c>
      <c r="AE119" s="62">
        <f>K119+R119+Y119</f>
        <v/>
      </c>
      <c r="AF119" s="62">
        <f>L119+S119+Z119</f>
        <v/>
      </c>
      <c r="AG119" s="15">
        <f>M119+T119+AA119</f>
        <v/>
      </c>
      <c r="AH119" s="62">
        <f>G119+N119+U119</f>
        <v/>
      </c>
      <c r="AI119" s="63">
        <f>AG119-AH119</f>
        <v/>
      </c>
      <c r="AJ119" s="68" t="n"/>
    </row>
    <row r="120">
      <c r="A120" s="35">
        <f>EXPENSES!L118</f>
        <v/>
      </c>
      <c r="B120" s="36">
        <f>EXPENSES!B118</f>
        <v/>
      </c>
      <c r="C120" s="37">
        <f>EXPENSES!E118</f>
        <v/>
      </c>
      <c r="D120" s="37">
        <f>EXPENSES!I118</f>
        <v/>
      </c>
      <c r="E120" s="37">
        <f>C120+D120</f>
        <v/>
      </c>
      <c r="F120" s="70" t="n"/>
      <c r="G120" s="76" t="n"/>
      <c r="H120" s="77" t="n"/>
      <c r="I120" s="77" t="n"/>
      <c r="J120" s="77" t="n"/>
      <c r="K120" s="77" t="n"/>
      <c r="L120" s="87" t="n"/>
      <c r="M120" s="90">
        <f>SUM(H120:L120)</f>
        <v/>
      </c>
      <c r="N120" s="76" t="n"/>
      <c r="O120" s="77" t="n"/>
      <c r="P120" s="77" t="n"/>
      <c r="Q120" s="77" t="n"/>
      <c r="R120" s="77" t="n"/>
      <c r="S120" s="87" t="n"/>
      <c r="T120" s="90">
        <f>SUM(O120:S120)</f>
        <v/>
      </c>
      <c r="U120" s="76" t="n"/>
      <c r="V120" s="77" t="n"/>
      <c r="W120" s="77" t="n"/>
      <c r="X120" s="77" t="n"/>
      <c r="Y120" s="77" t="n"/>
      <c r="Z120" s="99" t="n"/>
      <c r="AA120" s="90">
        <f>SUM(V120:Z120)</f>
        <v/>
      </c>
      <c r="AB120" s="100">
        <f>H120+O120+V120</f>
        <v/>
      </c>
      <c r="AC120" s="62">
        <f>I120+P120+W120</f>
        <v/>
      </c>
      <c r="AD120" s="62">
        <f>J120+Q120+X120</f>
        <v/>
      </c>
      <c r="AE120" s="62">
        <f>K120+R120+Y120</f>
        <v/>
      </c>
      <c r="AF120" s="62">
        <f>L120+S120+Z120</f>
        <v/>
      </c>
      <c r="AG120" s="15">
        <f>M120+T120+AA120</f>
        <v/>
      </c>
      <c r="AH120" s="62">
        <f>G120+N120+U120</f>
        <v/>
      </c>
      <c r="AI120" s="63">
        <f>AG120-AH120</f>
        <v/>
      </c>
      <c r="AJ120" s="68" t="n"/>
    </row>
    <row r="121">
      <c r="A121" s="35">
        <f>EXPENSES!L119</f>
        <v/>
      </c>
      <c r="B121" s="36">
        <f>EXPENSES!B119</f>
        <v/>
      </c>
      <c r="C121" s="37">
        <f>EXPENSES!E119</f>
        <v/>
      </c>
      <c r="D121" s="37">
        <f>EXPENSES!I119</f>
        <v/>
      </c>
      <c r="E121" s="37">
        <f>C121+D121</f>
        <v/>
      </c>
      <c r="F121" s="70" t="n"/>
      <c r="G121" s="76" t="n"/>
      <c r="H121" s="77" t="n"/>
      <c r="I121" s="77" t="n"/>
      <c r="J121" s="77" t="n"/>
      <c r="K121" s="77" t="n"/>
      <c r="L121" s="87" t="n"/>
      <c r="M121" s="90">
        <f>SUM(H121:L121)</f>
        <v/>
      </c>
      <c r="N121" s="76" t="n"/>
      <c r="O121" s="77" t="n"/>
      <c r="P121" s="77" t="n"/>
      <c r="Q121" s="77" t="n"/>
      <c r="R121" s="77" t="n"/>
      <c r="S121" s="87" t="n"/>
      <c r="T121" s="90">
        <f>SUM(O121:S121)</f>
        <v/>
      </c>
      <c r="U121" s="76" t="n"/>
      <c r="V121" s="77" t="n"/>
      <c r="W121" s="77" t="n"/>
      <c r="X121" s="77" t="n"/>
      <c r="Y121" s="77" t="n"/>
      <c r="Z121" s="99" t="n"/>
      <c r="AA121" s="90">
        <f>SUM(V121:Z121)</f>
        <v/>
      </c>
      <c r="AB121" s="100">
        <f>H121+O121+V121</f>
        <v/>
      </c>
      <c r="AC121" s="62">
        <f>I121+P121+W121</f>
        <v/>
      </c>
      <c r="AD121" s="62">
        <f>J121+Q121+X121</f>
        <v/>
      </c>
      <c r="AE121" s="62">
        <f>K121+R121+Y121</f>
        <v/>
      </c>
      <c r="AF121" s="62">
        <f>L121+S121+Z121</f>
        <v/>
      </c>
      <c r="AG121" s="15">
        <f>M121+T121+AA121</f>
        <v/>
      </c>
      <c r="AH121" s="62">
        <f>G121+N121+U121</f>
        <v/>
      </c>
      <c r="AI121" s="63">
        <f>AG121-AH121</f>
        <v/>
      </c>
      <c r="AJ121" s="68" t="n"/>
    </row>
    <row r="122">
      <c r="A122" s="24" t="n"/>
      <c r="B122" s="113" t="inlineStr">
        <is>
          <t>IRREGULAR / ANNUAL COSTS</t>
        </is>
      </c>
      <c r="C122" s="24">
        <f>SUM(C123:C128)</f>
        <v/>
      </c>
      <c r="D122" s="24">
        <f>SUM(D123:D128)</f>
        <v/>
      </c>
      <c r="E122" s="24">
        <f>SUM(E123:E128)</f>
        <v/>
      </c>
      <c r="F122" s="69" t="n"/>
      <c r="G122" s="78">
        <f>SUM(G123:G128)</f>
        <v/>
      </c>
      <c r="H122" s="79">
        <f>SUM(H123:H128)</f>
        <v/>
      </c>
      <c r="I122" s="79">
        <f>SUM(I123:I128)</f>
        <v/>
      </c>
      <c r="J122" s="79">
        <f>SUM(J123:J128)</f>
        <v/>
      </c>
      <c r="K122" s="79">
        <f>SUM(K123:K128)</f>
        <v/>
      </c>
      <c r="L122" s="69">
        <f>SUM(L123:L128)</f>
        <v/>
      </c>
      <c r="M122" s="91">
        <f>SUM(M123:M128)</f>
        <v/>
      </c>
      <c r="N122" s="78">
        <f>SUM(N123:N128)</f>
        <v/>
      </c>
      <c r="O122" s="79">
        <f>SUM(O123:O128)</f>
        <v/>
      </c>
      <c r="P122" s="79">
        <f>SUM(P123:P128)</f>
        <v/>
      </c>
      <c r="Q122" s="79">
        <f>SUM(Q123:Q128)</f>
        <v/>
      </c>
      <c r="R122" s="79">
        <f>SUM(R123:R128)</f>
        <v/>
      </c>
      <c r="S122" s="69">
        <f>SUM(S123:S128)</f>
        <v/>
      </c>
      <c r="T122" s="91">
        <f>SUM(T123:T128)</f>
        <v/>
      </c>
      <c r="U122" s="78">
        <f>SUM(U123:U128)</f>
        <v/>
      </c>
      <c r="V122" s="79">
        <f>SUM(V123:V128)</f>
        <v/>
      </c>
      <c r="W122" s="79">
        <f>SUM(W123:W128)</f>
        <v/>
      </c>
      <c r="X122" s="79">
        <f>SUM(X123:X128)</f>
        <v/>
      </c>
      <c r="Y122" s="79">
        <f>SUM(Y123:Y128)</f>
        <v/>
      </c>
      <c r="Z122" s="80">
        <f>SUM(Z123:Z128)</f>
        <v/>
      </c>
      <c r="AA122" s="91">
        <f>SUM(AA123:AA128)</f>
        <v/>
      </c>
      <c r="AB122" s="71">
        <f>SUM(AB123:AB128)</f>
        <v/>
      </c>
      <c r="AC122" s="24">
        <f>SUM(AC123:AC128)</f>
        <v/>
      </c>
      <c r="AD122" s="24">
        <f>SUM(AD123:AD128)</f>
        <v/>
      </c>
      <c r="AE122" s="24">
        <f>SUM(AE123:AE128)</f>
        <v/>
      </c>
      <c r="AF122" s="24">
        <f>SUM(AF123:AF128)</f>
        <v/>
      </c>
      <c r="AG122" s="24">
        <f>SUM(AG123:AG128)</f>
        <v/>
      </c>
      <c r="AH122" s="24">
        <f>SUM(AH123:AH128)</f>
        <v/>
      </c>
      <c r="AI122" s="24">
        <f>SUM(AI123:AI128)</f>
        <v/>
      </c>
      <c r="AJ122" s="24" t="n"/>
    </row>
    <row r="123">
      <c r="A123" s="35">
        <f>EXPENSES!L121</f>
        <v/>
      </c>
      <c r="B123" s="36">
        <f>EXPENSES!B121</f>
        <v/>
      </c>
      <c r="C123" s="37">
        <f>EXPENSES!E121</f>
        <v/>
      </c>
      <c r="D123" s="37">
        <f>EXPENSES!I121</f>
        <v/>
      </c>
      <c r="E123" s="37">
        <f>C123+D123</f>
        <v/>
      </c>
      <c r="F123" s="70" t="n"/>
      <c r="G123" s="76" t="n"/>
      <c r="H123" s="77" t="n"/>
      <c r="I123" s="77" t="n"/>
      <c r="J123" s="77" t="n"/>
      <c r="K123" s="77" t="n"/>
      <c r="L123" s="87" t="n"/>
      <c r="M123" s="90">
        <f>SUM(H123:L123)</f>
        <v/>
      </c>
      <c r="N123" s="76" t="n"/>
      <c r="O123" s="77" t="n"/>
      <c r="P123" s="77" t="n"/>
      <c r="Q123" s="77" t="n"/>
      <c r="R123" s="77" t="n"/>
      <c r="S123" s="87" t="n"/>
      <c r="T123" s="90">
        <f>SUM(O123:S123)</f>
        <v/>
      </c>
      <c r="U123" s="76" t="n"/>
      <c r="V123" s="77" t="n"/>
      <c r="W123" s="77" t="n"/>
      <c r="X123" s="77" t="n"/>
      <c r="Y123" s="77" t="n"/>
      <c r="Z123" s="99" t="n"/>
      <c r="AA123" s="90">
        <f>SUM(V123:Z123)</f>
        <v/>
      </c>
      <c r="AB123" s="100">
        <f>H123+O123+V123</f>
        <v/>
      </c>
      <c r="AC123" s="62">
        <f>I123+P123+W123</f>
        <v/>
      </c>
      <c r="AD123" s="62">
        <f>J123+Q123+X123</f>
        <v/>
      </c>
      <c r="AE123" s="62">
        <f>K123+R123+Y123</f>
        <v/>
      </c>
      <c r="AF123" s="62">
        <f>L123+S123+Z123</f>
        <v/>
      </c>
      <c r="AG123" s="15">
        <f>M123+T123+AA123</f>
        <v/>
      </c>
      <c r="AH123" s="62">
        <f>G123+N123+U123</f>
        <v/>
      </c>
      <c r="AI123" s="63">
        <f>AG123-AH123</f>
        <v/>
      </c>
      <c r="AJ123" s="68" t="n"/>
    </row>
    <row r="124">
      <c r="A124" s="35">
        <f>EXPENSES!L122</f>
        <v/>
      </c>
      <c r="B124" s="36">
        <f>EXPENSES!B122</f>
        <v/>
      </c>
      <c r="C124" s="37">
        <f>EXPENSES!E122</f>
        <v/>
      </c>
      <c r="D124" s="37">
        <f>EXPENSES!I122</f>
        <v/>
      </c>
      <c r="E124" s="37">
        <f>C124+D124</f>
        <v/>
      </c>
      <c r="F124" s="70" t="n"/>
      <c r="G124" s="76" t="n"/>
      <c r="H124" s="77" t="n"/>
      <c r="I124" s="77" t="n"/>
      <c r="J124" s="77" t="n"/>
      <c r="K124" s="77" t="n"/>
      <c r="L124" s="87" t="n"/>
      <c r="M124" s="90">
        <f>SUM(H124:L124)</f>
        <v/>
      </c>
      <c r="N124" s="76" t="n"/>
      <c r="O124" s="77" t="n"/>
      <c r="P124" s="77" t="n"/>
      <c r="Q124" s="77" t="n"/>
      <c r="R124" s="77" t="n"/>
      <c r="S124" s="87" t="n"/>
      <c r="T124" s="90">
        <f>SUM(O124:S124)</f>
        <v/>
      </c>
      <c r="U124" s="76" t="n"/>
      <c r="V124" s="77" t="n"/>
      <c r="W124" s="77" t="n"/>
      <c r="X124" s="77" t="n"/>
      <c r="Y124" s="77" t="n"/>
      <c r="Z124" s="99" t="n"/>
      <c r="AA124" s="90">
        <f>SUM(V124:Z124)</f>
        <v/>
      </c>
      <c r="AB124" s="100">
        <f>H124+O124+V124</f>
        <v/>
      </c>
      <c r="AC124" s="62">
        <f>I124+P124+W124</f>
        <v/>
      </c>
      <c r="AD124" s="62">
        <f>J124+Q124+X124</f>
        <v/>
      </c>
      <c r="AE124" s="62">
        <f>K124+R124+Y124</f>
        <v/>
      </c>
      <c r="AF124" s="62">
        <f>L124+S124+Z124</f>
        <v/>
      </c>
      <c r="AG124" s="15">
        <f>M124+T124+AA124</f>
        <v/>
      </c>
      <c r="AH124" s="62">
        <f>G124+N124+U124</f>
        <v/>
      </c>
      <c r="AI124" s="63">
        <f>AG124-AH124</f>
        <v/>
      </c>
      <c r="AJ124" s="68" t="n"/>
    </row>
    <row r="125">
      <c r="A125" s="35">
        <f>EXPENSES!L123</f>
        <v/>
      </c>
      <c r="B125" s="36">
        <f>EXPENSES!B123</f>
        <v/>
      </c>
      <c r="C125" s="37">
        <f>EXPENSES!E123</f>
        <v/>
      </c>
      <c r="D125" s="37">
        <f>EXPENSES!I123</f>
        <v/>
      </c>
      <c r="E125" s="37">
        <f>C125+D125</f>
        <v/>
      </c>
      <c r="F125" s="70" t="n"/>
      <c r="G125" s="76" t="n"/>
      <c r="H125" s="77" t="n"/>
      <c r="I125" s="77" t="n"/>
      <c r="J125" s="77" t="n"/>
      <c r="K125" s="77" t="n"/>
      <c r="L125" s="87" t="n"/>
      <c r="M125" s="90">
        <f>SUM(H125:L125)</f>
        <v/>
      </c>
      <c r="N125" s="76" t="n"/>
      <c r="O125" s="77" t="n"/>
      <c r="P125" s="77" t="n"/>
      <c r="Q125" s="77" t="n"/>
      <c r="R125" s="77" t="n"/>
      <c r="S125" s="87" t="n"/>
      <c r="T125" s="90">
        <f>SUM(O125:S125)</f>
        <v/>
      </c>
      <c r="U125" s="76" t="n"/>
      <c r="V125" s="77" t="n"/>
      <c r="W125" s="77" t="n"/>
      <c r="X125" s="77" t="n"/>
      <c r="Y125" s="77" t="n"/>
      <c r="Z125" s="99" t="n"/>
      <c r="AA125" s="90">
        <f>SUM(V125:Z125)</f>
        <v/>
      </c>
      <c r="AB125" s="100">
        <f>H125+O125+V125</f>
        <v/>
      </c>
      <c r="AC125" s="62">
        <f>I125+P125+W125</f>
        <v/>
      </c>
      <c r="AD125" s="62">
        <f>J125+Q125+X125</f>
        <v/>
      </c>
      <c r="AE125" s="62">
        <f>K125+R125+Y125</f>
        <v/>
      </c>
      <c r="AF125" s="62">
        <f>L125+S125+Z125</f>
        <v/>
      </c>
      <c r="AG125" s="15">
        <f>M125+T125+AA125</f>
        <v/>
      </c>
      <c r="AH125" s="62">
        <f>G125+N125+U125</f>
        <v/>
      </c>
      <c r="AI125" s="63">
        <f>AG125-AH125</f>
        <v/>
      </c>
      <c r="AJ125" s="68" t="n"/>
    </row>
    <row r="126">
      <c r="A126" s="35">
        <f>EXPENSES!L124</f>
        <v/>
      </c>
      <c r="B126" s="36">
        <f>EXPENSES!B124</f>
        <v/>
      </c>
      <c r="C126" s="37">
        <f>EXPENSES!E124</f>
        <v/>
      </c>
      <c r="D126" s="37">
        <f>EXPENSES!I124</f>
        <v/>
      </c>
      <c r="E126" s="37">
        <f>C126+D126</f>
        <v/>
      </c>
      <c r="F126" s="70" t="n"/>
      <c r="G126" s="76" t="n"/>
      <c r="H126" s="77" t="n"/>
      <c r="I126" s="77" t="n"/>
      <c r="J126" s="77" t="n"/>
      <c r="K126" s="77" t="n"/>
      <c r="L126" s="87" t="n"/>
      <c r="M126" s="90">
        <f>SUM(H126:L126)</f>
        <v/>
      </c>
      <c r="N126" s="76" t="n"/>
      <c r="O126" s="77" t="n"/>
      <c r="P126" s="77" t="n"/>
      <c r="Q126" s="77" t="n"/>
      <c r="R126" s="77" t="n"/>
      <c r="S126" s="87" t="n"/>
      <c r="T126" s="90">
        <f>SUM(O126:S126)</f>
        <v/>
      </c>
      <c r="U126" s="76" t="n"/>
      <c r="V126" s="77" t="n"/>
      <c r="W126" s="77" t="n"/>
      <c r="X126" s="77" t="n"/>
      <c r="Y126" s="77" t="n"/>
      <c r="Z126" s="99" t="n"/>
      <c r="AA126" s="90">
        <f>SUM(V126:Z126)</f>
        <v/>
      </c>
      <c r="AB126" s="100">
        <f>H126+O126+V126</f>
        <v/>
      </c>
      <c r="AC126" s="62">
        <f>I126+P126+W126</f>
        <v/>
      </c>
      <c r="AD126" s="62">
        <f>J126+Q126+X126</f>
        <v/>
      </c>
      <c r="AE126" s="62">
        <f>K126+R126+Y126</f>
        <v/>
      </c>
      <c r="AF126" s="62">
        <f>L126+S126+Z126</f>
        <v/>
      </c>
      <c r="AG126" s="15">
        <f>M126+T126+AA126</f>
        <v/>
      </c>
      <c r="AH126" s="62">
        <f>G126+N126+U126</f>
        <v/>
      </c>
      <c r="AI126" s="63">
        <f>AG126-AH126</f>
        <v/>
      </c>
      <c r="AJ126" s="68" t="n"/>
    </row>
    <row r="127">
      <c r="A127" s="35">
        <f>EXPENSES!L125</f>
        <v/>
      </c>
      <c r="B127" s="36">
        <f>EXPENSES!B125</f>
        <v/>
      </c>
      <c r="C127" s="37">
        <f>EXPENSES!E125</f>
        <v/>
      </c>
      <c r="D127" s="37">
        <f>EXPENSES!I125</f>
        <v/>
      </c>
      <c r="E127" s="37">
        <f>C127+D127</f>
        <v/>
      </c>
      <c r="F127" s="70" t="n"/>
      <c r="G127" s="76" t="n"/>
      <c r="H127" s="77" t="n"/>
      <c r="I127" s="77" t="n"/>
      <c r="J127" s="77" t="n"/>
      <c r="K127" s="77" t="n"/>
      <c r="L127" s="87" t="n"/>
      <c r="M127" s="90">
        <f>SUM(H127:L127)</f>
        <v/>
      </c>
      <c r="N127" s="76" t="n"/>
      <c r="O127" s="77" t="n"/>
      <c r="P127" s="77" t="n"/>
      <c r="Q127" s="77" t="n"/>
      <c r="R127" s="77" t="n"/>
      <c r="S127" s="87" t="n"/>
      <c r="T127" s="90">
        <f>SUM(O127:S127)</f>
        <v/>
      </c>
      <c r="U127" s="76" t="n"/>
      <c r="V127" s="77" t="n"/>
      <c r="W127" s="77" t="n"/>
      <c r="X127" s="77" t="n"/>
      <c r="Y127" s="77" t="n"/>
      <c r="Z127" s="99" t="n"/>
      <c r="AA127" s="90">
        <f>SUM(V127:Z127)</f>
        <v/>
      </c>
      <c r="AB127" s="100">
        <f>H127+O127+V127</f>
        <v/>
      </c>
      <c r="AC127" s="62">
        <f>I127+P127+W127</f>
        <v/>
      </c>
      <c r="AD127" s="62">
        <f>J127+Q127+X127</f>
        <v/>
      </c>
      <c r="AE127" s="62">
        <f>K127+R127+Y127</f>
        <v/>
      </c>
      <c r="AF127" s="62">
        <f>L127+S127+Z127</f>
        <v/>
      </c>
      <c r="AG127" s="15">
        <f>M127+T127+AA127</f>
        <v/>
      </c>
      <c r="AH127" s="62">
        <f>G127+N127+U127</f>
        <v/>
      </c>
      <c r="AI127" s="63">
        <f>AG127-AH127</f>
        <v/>
      </c>
      <c r="AJ127" s="68" t="n"/>
    </row>
    <row r="128">
      <c r="A128" s="35">
        <f>EXPENSES!L126</f>
        <v/>
      </c>
      <c r="B128" s="36">
        <f>EXPENSES!B126</f>
        <v/>
      </c>
      <c r="C128" s="37">
        <f>EXPENSES!E126</f>
        <v/>
      </c>
      <c r="D128" s="37">
        <f>EXPENSES!I126</f>
        <v/>
      </c>
      <c r="E128" s="37">
        <f>C128+D128</f>
        <v/>
      </c>
      <c r="F128" s="70" t="n"/>
      <c r="G128" s="76" t="n"/>
      <c r="H128" s="77" t="n"/>
      <c r="I128" s="77" t="n"/>
      <c r="J128" s="77" t="n"/>
      <c r="K128" s="77" t="n"/>
      <c r="L128" s="87" t="n"/>
      <c r="M128" s="90">
        <f>SUM(H128:L128)</f>
        <v/>
      </c>
      <c r="N128" s="76" t="n"/>
      <c r="O128" s="77" t="n"/>
      <c r="P128" s="77" t="n"/>
      <c r="Q128" s="77" t="n"/>
      <c r="R128" s="77" t="n"/>
      <c r="S128" s="87" t="n"/>
      <c r="T128" s="90">
        <f>SUM(O128:S128)</f>
        <v/>
      </c>
      <c r="U128" s="76" t="n"/>
      <c r="V128" s="77" t="n"/>
      <c r="W128" s="77" t="n"/>
      <c r="X128" s="77" t="n"/>
      <c r="Y128" s="77" t="n"/>
      <c r="Z128" s="99" t="n"/>
      <c r="AA128" s="90">
        <f>SUM(V128:Z128)</f>
        <v/>
      </c>
      <c r="AB128" s="100">
        <f>H128+O128+V128</f>
        <v/>
      </c>
      <c r="AC128" s="62">
        <f>I128+P128+W128</f>
        <v/>
      </c>
      <c r="AD128" s="62">
        <f>J128+Q128+X128</f>
        <v/>
      </c>
      <c r="AE128" s="62">
        <f>K128+R128+Y128</f>
        <v/>
      </c>
      <c r="AF128" s="62">
        <f>L128+S128+Z128</f>
        <v/>
      </c>
      <c r="AG128" s="15">
        <f>M128+T128+AA128</f>
        <v/>
      </c>
      <c r="AH128" s="62">
        <f>G128+N128+U128</f>
        <v/>
      </c>
      <c r="AI128" s="63">
        <f>AG128-AH128</f>
        <v/>
      </c>
      <c r="AJ128" s="68" t="n"/>
    </row>
    <row r="129">
      <c r="G129" s="81" t="n"/>
      <c r="M129" s="92" t="n"/>
      <c r="N129" s="81" t="n"/>
      <c r="T129" s="92" t="n"/>
      <c r="U129" s="81" t="n"/>
      <c r="Z129" s="82" t="n"/>
      <c r="AA129" s="92" t="n"/>
    </row>
    <row r="130" ht="16" customHeight="1" s="107" thickBot="1">
      <c r="A130" s="133" t="inlineStr">
        <is>
          <t>TOTAL — ALL EXPENSE LINES</t>
        </is>
      </c>
      <c r="C130" s="64">
        <f>SUMIFS(C7:C128,$A$7:$A$128,"&lt;&gt;")</f>
        <v/>
      </c>
      <c r="D130" s="64">
        <f>SUMIFS(D7:D128,$A$7:$A$128,"&lt;&gt;")</f>
        <v/>
      </c>
      <c r="E130" s="64">
        <f>SUMIFS(E7:E128,$A$7:$A$128,"&lt;&gt;")</f>
        <v/>
      </c>
      <c r="G130" s="83">
        <f>SUMIFS(G7:G128,$A$7:$A$128,"&lt;&gt;")</f>
        <v/>
      </c>
      <c r="H130" s="84">
        <f>SUMIFS(H7:H128,$A$7:$A$128,"&lt;&gt;")</f>
        <v/>
      </c>
      <c r="I130" s="84">
        <f>SUMIFS(I7:I128,$A$7:$A$128,"&lt;&gt;")</f>
        <v/>
      </c>
      <c r="J130" s="84">
        <f>SUMIFS(J7:J128,$A$7:$A$128,"&lt;&gt;")</f>
        <v/>
      </c>
      <c r="K130" s="84">
        <f>SUMIFS(K7:K128,$A$7:$A$128,"&lt;&gt;")</f>
        <v/>
      </c>
      <c r="L130" s="88">
        <f>SUMIFS(L7:L128,$A$7:$A$128,"&lt;&gt;")</f>
        <v/>
      </c>
      <c r="M130" s="93">
        <f>SUMIFS(M7:M128,$A$7:$A$128,"&lt;&gt;")</f>
        <v/>
      </c>
      <c r="N130" s="83">
        <f>SUMIFS(N7:N128,$A$7:$A$128,"&lt;&gt;")</f>
        <v/>
      </c>
      <c r="O130" s="84">
        <f>SUMIFS(O7:O128,$A$7:$A$128,"&lt;&gt;")</f>
        <v/>
      </c>
      <c r="P130" s="84">
        <f>SUMIFS(P7:P128,$A$7:$A$128,"&lt;&gt;")</f>
        <v/>
      </c>
      <c r="Q130" s="84">
        <f>SUMIFS(Q7:Q128,$A$7:$A$128,"&lt;&gt;")</f>
        <v/>
      </c>
      <c r="R130" s="84">
        <f>SUMIFS(R7:R128,$A$7:$A$128,"&lt;&gt;")</f>
        <v/>
      </c>
      <c r="S130" s="88">
        <f>SUMIFS(S7:S128,$A$7:$A$128,"&lt;&gt;")</f>
        <v/>
      </c>
      <c r="T130" s="93">
        <f>SUMIFS(T7:T128,$A$7:$A$128,"&lt;&gt;")</f>
        <v/>
      </c>
      <c r="U130" s="83">
        <f>SUMIFS(U7:U128,$A$7:$A$128,"&lt;&gt;")</f>
        <v/>
      </c>
      <c r="V130" s="84">
        <f>SUMIFS(V7:V128,$A$7:$A$128,"&lt;&gt;")</f>
        <v/>
      </c>
      <c r="W130" s="84">
        <f>SUMIFS(W7:W128,$A$7:$A$128,"&lt;&gt;")</f>
        <v/>
      </c>
      <c r="X130" s="84">
        <f>SUMIFS(X7:X128,$A$7:$A$128,"&lt;&gt;")</f>
        <v/>
      </c>
      <c r="Y130" s="84">
        <f>SUMIFS(Y7:Y128,$A$7:$A$128,"&lt;&gt;")</f>
        <v/>
      </c>
      <c r="Z130" s="85">
        <f>SUMIFS(Z7:Z128,$A$7:$A$128,"&lt;&gt;")</f>
        <v/>
      </c>
      <c r="AA130" s="93">
        <f>SUMIFS(AA7:AA128,$A$7:$A$128,"&lt;&gt;")</f>
        <v/>
      </c>
      <c r="AB130" s="72">
        <f>SUMIFS(AB7:AB128,$A$7:$A$128,"&lt;&gt;")</f>
        <v/>
      </c>
      <c r="AC130" s="64">
        <f>SUMIFS(AC7:AC128,$A$7:$A$128,"&lt;&gt;")</f>
        <v/>
      </c>
      <c r="AD130" s="64">
        <f>SUMIFS(AD7:AD128,$A$7:$A$128,"&lt;&gt;")</f>
        <v/>
      </c>
      <c r="AE130" s="64">
        <f>SUMIFS(AE7:AE128,$A$7:$A$128,"&lt;&gt;")</f>
        <v/>
      </c>
      <c r="AF130" s="64">
        <f>SUMIFS(AF7:AF128,$A$7:$A$128,"&lt;&gt;")</f>
        <v/>
      </c>
      <c r="AG130" s="64">
        <f>SUMIFS(AG7:AG128,$A$7:$A$128,"&lt;&gt;")</f>
        <v/>
      </c>
      <c r="AH130" s="64">
        <f>SUMIFS(AH7:AH128,$A$7:$A$128,"&lt;&gt;")</f>
        <v/>
      </c>
      <c r="AI130" s="64">
        <f>SUMIFS(AI7:AI128,$A$7:$A$128,"&lt;&gt;")</f>
        <v/>
      </c>
    </row>
    <row r="133" ht="20" customHeight="1" s="107">
      <c r="A133" s="134" t="inlineStr">
        <is>
          <t>COVERAGE SUMMARY — WHO IS COVERING THE MONTHLY NEEDS</t>
        </is>
      </c>
    </row>
    <row r="134">
      <c r="A134" s="119" t="n"/>
      <c r="B134" s="120" t="n"/>
      <c r="C134" s="119" t="inlineStr">
        <is>
          <t>Month-1</t>
        </is>
      </c>
      <c r="D134" s="119" t="inlineStr">
        <is>
          <t>Month-2</t>
        </is>
      </c>
      <c r="E134" s="119" t="inlineStr">
        <is>
          <t>Month-3</t>
        </is>
      </c>
      <c r="F134" s="119" t="inlineStr">
        <is>
          <t>3-Month Total</t>
        </is>
      </c>
    </row>
    <row r="135">
      <c r="A135" s="121" t="inlineStr">
        <is>
          <t>Reference: Expenses tab need (+ past due in Month-1)</t>
        </is>
      </c>
      <c r="B135" s="120" t="n"/>
      <c r="C135" s="65">
        <f>EXPENSES!$E$128+EXPENSES!$I$128</f>
        <v/>
      </c>
      <c r="D135" s="65">
        <f>EXPENSES!$E$128</f>
        <v/>
      </c>
      <c r="E135" s="65">
        <f>EXPENSES!$E$128</f>
        <v/>
      </c>
      <c r="F135" s="63">
        <f>SUM(C135:E135)</f>
        <v/>
      </c>
    </row>
    <row r="136">
      <c r="A136" s="123" t="inlineStr">
        <is>
          <t>Planned need (Month Need columns)</t>
        </is>
      </c>
      <c r="B136" s="120" t="n"/>
      <c r="C136" s="64">
        <f>G130</f>
        <v/>
      </c>
      <c r="D136" s="64">
        <f>N130</f>
        <v/>
      </c>
      <c r="E136" s="64">
        <f>U130</f>
        <v/>
      </c>
      <c r="F136" s="64">
        <f>SUM(C136:E136)</f>
        <v/>
      </c>
    </row>
    <row r="137">
      <c r="A137" s="115" t="inlineStr">
        <is>
          <t>Member support</t>
        </is>
      </c>
      <c r="B137" s="120" t="n"/>
      <c r="C137" s="66">
        <f>H130</f>
        <v/>
      </c>
      <c r="D137" s="66">
        <f>O130</f>
        <v/>
      </c>
      <c r="E137" s="66">
        <f>V130</f>
        <v/>
      </c>
      <c r="F137" s="63">
        <f>SUM(C137:E137)</f>
        <v/>
      </c>
    </row>
    <row r="138">
      <c r="A138" s="115" t="inlineStr">
        <is>
          <t>Family support</t>
        </is>
      </c>
      <c r="B138" s="120" t="n"/>
      <c r="C138" s="66">
        <f>I130</f>
        <v/>
      </c>
      <c r="D138" s="66">
        <f>P130</f>
        <v/>
      </c>
      <c r="E138" s="66">
        <f>W130</f>
        <v/>
      </c>
      <c r="F138" s="63">
        <f>SUM(C138:E138)</f>
        <v/>
      </c>
    </row>
    <row r="139">
      <c r="A139" s="115" t="inlineStr">
        <is>
          <t>Church support</t>
        </is>
      </c>
      <c r="B139" s="120" t="n"/>
      <c r="C139" s="66">
        <f>J130</f>
        <v/>
      </c>
      <c r="D139" s="66">
        <f>Q130</f>
        <v/>
      </c>
      <c r="E139" s="66">
        <f>X130</f>
        <v/>
      </c>
      <c r="F139" s="63">
        <f>SUM(C139:E139)</f>
        <v/>
      </c>
    </row>
    <row r="140">
      <c r="A140" s="115" t="inlineStr">
        <is>
          <t>Social Services support</t>
        </is>
      </c>
      <c r="B140" s="120" t="n"/>
      <c r="C140" s="66">
        <f>K130</f>
        <v/>
      </c>
      <c r="D140" s="66">
        <f>R130</f>
        <v/>
      </c>
      <c r="E140" s="66">
        <f>Y130</f>
        <v/>
      </c>
      <c r="F140" s="63">
        <f>SUM(C140:E140)</f>
        <v/>
      </c>
    </row>
    <row r="141">
      <c r="A141" s="115" t="inlineStr">
        <is>
          <t>Other support</t>
        </is>
      </c>
      <c r="B141" s="120" t="n"/>
      <c r="C141" s="66">
        <f>L130</f>
        <v/>
      </c>
      <c r="D141" s="66">
        <f>S130</f>
        <v/>
      </c>
      <c r="E141" s="66">
        <f>Z130</f>
        <v/>
      </c>
      <c r="F141" s="63">
        <f>SUM(C141:E141)</f>
        <v/>
      </c>
    </row>
    <row r="142">
      <c r="A142" s="123" t="inlineStr">
        <is>
          <t>Total support</t>
        </is>
      </c>
      <c r="B142" s="120" t="n"/>
      <c r="C142" s="64">
        <f>SUM(C137:C141)</f>
        <v/>
      </c>
      <c r="D142" s="64">
        <f>SUM(D137:D141)</f>
        <v/>
      </c>
      <c r="E142" s="64">
        <f>SUM(E137:E141)</f>
        <v/>
      </c>
      <c r="F142" s="64">
        <f>SUM(C142:E142)</f>
        <v/>
      </c>
    </row>
    <row r="143">
      <c r="A143" s="122" t="inlineStr">
        <is>
          <t>Surplus / (shortfall) for the month</t>
        </is>
      </c>
      <c r="B143" s="120" t="n"/>
      <c r="C143" s="63">
        <f>C142-C136</f>
        <v/>
      </c>
      <c r="D143" s="63">
        <f>D142-D136</f>
        <v/>
      </c>
      <c r="E143" s="63">
        <f>E142-E136</f>
        <v/>
      </c>
      <c r="F143" s="63">
        <f>SUM(C143:E143)</f>
        <v/>
      </c>
    </row>
    <row r="145">
      <c r="A145" s="115" t="inlineStr">
        <is>
          <t>Member — cumulative</t>
        </is>
      </c>
      <c r="B145" s="120" t="n"/>
      <c r="C145" s="66">
        <f>C137</f>
        <v/>
      </c>
      <c r="D145" s="66">
        <f>C145+D137</f>
        <v/>
      </c>
      <c r="E145" s="66">
        <f>D145+E137</f>
        <v/>
      </c>
      <c r="F145" s="63">
        <f>E145</f>
        <v/>
      </c>
    </row>
    <row r="146">
      <c r="A146" s="115" t="inlineStr">
        <is>
          <t>Family — cumulative</t>
        </is>
      </c>
      <c r="B146" s="120" t="n"/>
      <c r="C146" s="66">
        <f>C138</f>
        <v/>
      </c>
      <c r="D146" s="66">
        <f>C146+D138</f>
        <v/>
      </c>
      <c r="E146" s="66">
        <f>D146+E138</f>
        <v/>
      </c>
      <c r="F146" s="63">
        <f>E146</f>
        <v/>
      </c>
    </row>
    <row r="147">
      <c r="A147" s="115" t="inlineStr">
        <is>
          <t>Church — cumulative</t>
        </is>
      </c>
      <c r="B147" s="120" t="n"/>
      <c r="C147" s="66">
        <f>C139</f>
        <v/>
      </c>
      <c r="D147" s="66">
        <f>C147+D139</f>
        <v/>
      </c>
      <c r="E147" s="66">
        <f>D147+E139</f>
        <v/>
      </c>
      <c r="F147" s="63">
        <f>E147</f>
        <v/>
      </c>
    </row>
    <row r="148">
      <c r="A148" s="115" t="inlineStr">
        <is>
          <t>Social Services — cumulative</t>
        </is>
      </c>
      <c r="B148" s="120" t="n"/>
      <c r="C148" s="66">
        <f>C140</f>
        <v/>
      </c>
      <c r="D148" s="66">
        <f>C148+D140</f>
        <v/>
      </c>
      <c r="E148" s="66">
        <f>D148+E140</f>
        <v/>
      </c>
      <c r="F148" s="63">
        <f>E148</f>
        <v/>
      </c>
    </row>
    <row r="149">
      <c r="A149" s="115" t="inlineStr">
        <is>
          <t>Other — cumulative</t>
        </is>
      </c>
      <c r="B149" s="120" t="n"/>
      <c r="C149" s="66">
        <f>C141</f>
        <v/>
      </c>
      <c r="D149" s="66">
        <f>C149+D141</f>
        <v/>
      </c>
      <c r="E149" s="66">
        <f>D149+E141</f>
        <v/>
      </c>
      <c r="F149" s="63">
        <f>E149</f>
        <v/>
      </c>
    </row>
    <row r="150">
      <c r="A150" s="123" t="inlineStr">
        <is>
          <t>Cumulative support</t>
        </is>
      </c>
      <c r="B150" s="120" t="n"/>
      <c r="C150" s="64">
        <f>C142</f>
        <v/>
      </c>
      <c r="D150" s="64">
        <f>C150+D142</f>
        <v/>
      </c>
      <c r="E150" s="64">
        <f>D150+E142</f>
        <v/>
      </c>
      <c r="F150" s="64">
        <f>E150</f>
        <v/>
      </c>
    </row>
    <row r="151">
      <c r="A151" s="121" t="inlineStr">
        <is>
          <t>Cumulative need</t>
        </is>
      </c>
      <c r="B151" s="120" t="n"/>
      <c r="C151" s="66">
        <f>C136</f>
        <v/>
      </c>
      <c r="D151" s="66">
        <f>C151+D136</f>
        <v/>
      </c>
      <c r="E151" s="66">
        <f>D151+E136</f>
        <v/>
      </c>
      <c r="F151" s="63">
        <f>E151</f>
        <v/>
      </c>
    </row>
    <row r="152">
      <c r="A152" s="122" t="inlineStr">
        <is>
          <t>Cumulative surplus / (shortfall)</t>
        </is>
      </c>
      <c r="B152" s="120" t="n"/>
      <c r="C152" s="63">
        <f>C150-C151</f>
        <v/>
      </c>
      <c r="D152" s="63">
        <f>D150-D151</f>
        <v/>
      </c>
      <c r="E152" s="63">
        <f>E150-E151</f>
        <v/>
      </c>
      <c r="F152" s="63">
        <f>E152</f>
        <v/>
      </c>
    </row>
    <row r="153">
      <c r="A153" s="122" t="inlineStr">
        <is>
          <t>% of cumulative need covered</t>
        </is>
      </c>
      <c r="B153" s="120" t="n"/>
      <c r="C153" s="67">
        <f>IFERROR(C150/C151,0)</f>
        <v/>
      </c>
      <c r="D153" s="67">
        <f>IFERROR(D150/D151,0)</f>
        <v/>
      </c>
      <c r="E153" s="67">
        <f>IFERROR(E150/E151,0)</f>
        <v/>
      </c>
      <c r="F153" s="67">
        <f>E153</f>
        <v/>
      </c>
    </row>
    <row r="155">
      <c r="A155" s="121" t="inlineStr">
        <is>
          <t>Member's monthly income (Income tab)</t>
        </is>
      </c>
      <c r="B155" s="120" t="n"/>
      <c r="C155" s="65">
        <f>INCOME!$F$42</f>
        <v/>
      </c>
      <c r="D155" s="65">
        <f>INCOME!$F$42</f>
        <v/>
      </c>
      <c r="E155" s="65">
        <f>INCOME!$F$42</f>
        <v/>
      </c>
      <c r="F155" s="63">
        <f>SUM(C155:E155)</f>
        <v/>
      </c>
    </row>
    <row r="156">
      <c r="A156" s="121" t="inlineStr">
        <is>
          <t>Member income not assigned in this plan</t>
        </is>
      </c>
      <c r="B156" s="120" t="n"/>
      <c r="C156" s="66">
        <f>C155-C137</f>
        <v/>
      </c>
      <c r="D156" s="66">
        <f>D155-D137</f>
        <v/>
      </c>
      <c r="E156" s="66">
        <f>E155-E137</f>
        <v/>
      </c>
      <c r="F156" s="63">
        <f>SUM(C156:E156)</f>
        <v/>
      </c>
    </row>
    <row r="157">
      <c r="A157" s="121" t="inlineStr">
        <is>
          <t>Liquid funds available (Income tab)</t>
        </is>
      </c>
      <c r="B157" s="120" t="n"/>
      <c r="C157" s="65">
        <f>INCOME!$F$53</f>
        <v/>
      </c>
    </row>
    <row r="158">
      <c r="A158" s="60" t="inlineStr">
        <is>
          <t>Negative 'income not assigned' = the member is committed to pay more than their income (would draw on liquid funds).</t>
        </is>
      </c>
    </row>
  </sheetData>
  <mergeCells count="32">
    <mergeCell ref="A143:B143"/>
    <mergeCell ref="A130:B130"/>
    <mergeCell ref="A157:B157"/>
    <mergeCell ref="A148:B148"/>
    <mergeCell ref="A142:B142"/>
    <mergeCell ref="A133:F133"/>
    <mergeCell ref="AB5:AI5"/>
    <mergeCell ref="A138:B138"/>
    <mergeCell ref="A146:B146"/>
    <mergeCell ref="U5:AA5"/>
    <mergeCell ref="A153:B153"/>
    <mergeCell ref="A1:AJ1"/>
    <mergeCell ref="A137:B137"/>
    <mergeCell ref="A2:AJ2"/>
    <mergeCell ref="A149:B149"/>
    <mergeCell ref="A136:B136"/>
    <mergeCell ref="A145:B145"/>
    <mergeCell ref="A139:B139"/>
    <mergeCell ref="A151:B151"/>
    <mergeCell ref="A141:B141"/>
    <mergeCell ref="A135:B135"/>
    <mergeCell ref="F4:K4"/>
    <mergeCell ref="A150:B150"/>
    <mergeCell ref="A140:B140"/>
    <mergeCell ref="A4:B4"/>
    <mergeCell ref="A147:B147"/>
    <mergeCell ref="N5:T5"/>
    <mergeCell ref="A134:B134"/>
    <mergeCell ref="A156:B156"/>
    <mergeCell ref="A152:B152"/>
    <mergeCell ref="A155:B155"/>
    <mergeCell ref="G5:M5"/>
  </mergeCells>
  <conditionalFormatting sqref="C143:F143">
    <cfRule type="cellIs" priority="8" operator="lessThan" dxfId="14">
      <formula>-0.005</formula>
    </cfRule>
    <cfRule type="cellIs" priority="9" operator="greaterThanOrEqual" dxfId="8">
      <formula>-0.005</formula>
    </cfRule>
  </conditionalFormatting>
  <conditionalFormatting sqref="C152:F152">
    <cfRule type="cellIs" priority="10" operator="lessThan" dxfId="14">
      <formula>-0.005</formula>
    </cfRule>
    <cfRule type="cellIs" priority="11" operator="greaterThanOrEqual" dxfId="8">
      <formula>-0.005</formula>
    </cfRule>
  </conditionalFormatting>
  <conditionalFormatting sqref="C153:F153">
    <cfRule type="cellIs" priority="14" operator="greaterThanOrEqual" dxfId="8">
      <formula>0.9999</formula>
    </cfRule>
    <cfRule type="cellIs" priority="15" operator="lessThan" dxfId="14">
      <formula>0.9999</formula>
    </cfRule>
  </conditionalFormatting>
  <conditionalFormatting sqref="C156:F156">
    <cfRule type="cellIs" priority="12" operator="lessThan" dxfId="14">
      <formula>-0.005</formula>
    </cfRule>
    <cfRule type="cellIs" priority="13" operator="greaterThanOrEqual" dxfId="8">
      <formula>-0.005</formula>
    </cfRule>
  </conditionalFormatting>
  <conditionalFormatting sqref="M7:M128">
    <cfRule type="expression" priority="1" dxfId="8">
      <formula>AND(LEFT($A7,1)&lt;&gt;"",$G7&gt;0,M7&gt;=$G7-0.005)</formula>
    </cfRule>
    <cfRule type="expression" priority="2" dxfId="7">
      <formula>AND(LEFT($A7,1)&lt;&gt;"",$G7&gt;0,M7&lt;$G7-0.005)</formula>
    </cfRule>
  </conditionalFormatting>
  <conditionalFormatting sqref="T7:T128">
    <cfRule type="expression" priority="3" dxfId="8">
      <formula>AND(LEFT($A7,1)&lt;&gt;"",$N7&gt;0,T7&gt;=$N7-0.005)</formula>
    </cfRule>
    <cfRule type="expression" priority="4" dxfId="7">
      <formula>AND(LEFT($A7,1)&lt;&gt;"",$N7&gt;0,T7&lt;$N7-0.005)</formula>
    </cfRule>
  </conditionalFormatting>
  <conditionalFormatting sqref="AA7:AA128">
    <cfRule type="expression" priority="5" dxfId="8">
      <formula>AND(LEFT($A7,1)&lt;&gt;"",$U7&gt;0,AA7&gt;=$U7-0.005)</formula>
    </cfRule>
    <cfRule type="expression" priority="6" dxfId="7">
      <formula>AND(LEFT($A7,1)&lt;&gt;"",$U7&gt;0,AA7&lt;$U7-0.005)</formula>
    </cfRule>
  </conditionalFormatting>
  <conditionalFormatting sqref="AI7:AI128">
    <cfRule type="cellIs" priority="7" operator="lessThan" dxfId="6">
      <formula>-0.005</formula>
    </cfRule>
  </conditionalFormatting>
  <pageMargins left="0.75" right="0.75" top="1" bottom="1" header="0.511811023622047" footer="0.511811023622047"/>
  <pageSetup orientation="landscape" fitToHeight="0" horizontalDpi="300" verticalDpi="300"/>
</worksheet>
</file>

<file path=xl/worksheets/sheet7.xml><?xml version="1.0" encoding="utf-8"?>
<worksheet xmlns="http://schemas.openxmlformats.org/spreadsheetml/2006/main">
  <sheetPr>
    <tabColor theme="4" tint="0.7999816888943144"/>
    <outlinePr summaryBelow="1" summaryRight="1"/>
    <pageSetUpPr fitToPage="1"/>
  </sheetPr>
  <dimension ref="A1:N505"/>
  <sheetViews>
    <sheetView showGridLines="0" zoomScaleNormal="100" workbookViewId="0">
      <pane xSplit="1" ySplit="4" topLeftCell="B5" activePane="bottomRight" state="frozen"/>
      <selection pane="topRight" activeCell="B1" sqref="B1"/>
      <selection pane="bottomLeft" activeCell="A5" sqref="A5"/>
      <selection pane="bottomRight" activeCell="A1" sqref="A1:K1"/>
    </sheetView>
  </sheetViews>
  <sheetFormatPr baseColWidth="10" defaultColWidth="8.6640625" defaultRowHeight="15"/>
  <cols>
    <col width="12" customWidth="1" style="107" min="1" max="1"/>
    <col width="32" customWidth="1" style="107" min="2" max="2"/>
    <col width="22" customWidth="1" style="107" min="3" max="3"/>
    <col width="12" customWidth="1" style="107" min="4" max="4"/>
    <col width="36" customWidth="1" style="107" min="5" max="5"/>
    <col width="26" customWidth="1" style="107" min="6" max="6"/>
    <col width="22" customWidth="1" style="107" min="7" max="7"/>
    <col width="9" customWidth="1" style="107" min="8" max="8"/>
    <col width="28" customWidth="1" style="107" min="9" max="9"/>
    <col width="9" customWidth="1" style="107" min="10" max="10"/>
    <col width="20" customWidth="1" style="107" min="11" max="11"/>
    <col width="3" customWidth="1" style="107" min="12" max="12"/>
    <col width="16" customWidth="1" style="107" min="13" max="13"/>
    <col width="13" customWidth="1" style="107" min="14" max="14"/>
  </cols>
  <sheetData>
    <row r="1" ht="30" customHeight="1" s="107">
      <c r="A1" s="106" t="inlineStr">
        <is>
          <t>Expenditure Log</t>
        </is>
      </c>
    </row>
    <row r="2" ht="42" customHeight="1" s="107">
      <c r="A2" s="111" t="inlineStr">
        <is>
          <t>Record every purchase or payment, one per row (yellow cells). Pick the Expense Line from the dropdown — it matches the Expenses tab — and Code and Category fill in automatically. Example: 11/04/2026 | Weekly groceries | Walmart | $142.67 | FOD-01 - Groceries | Member | Debit card. A row with an amount but no Expense Line turns orange.</t>
        </is>
      </c>
    </row>
    <row r="4" ht="30" customHeight="1" s="107">
      <c r="A4" s="13" t="inlineStr">
        <is>
          <t>Date</t>
        </is>
      </c>
      <c r="B4" s="13" t="inlineStr">
        <is>
          <t>Description</t>
        </is>
      </c>
      <c r="C4" s="13" t="inlineStr">
        <is>
          <t>Payee / Vendor</t>
        </is>
      </c>
      <c r="D4" s="13" t="inlineStr">
        <is>
          <t>Amount</t>
        </is>
      </c>
      <c r="E4" s="13" t="inlineStr">
        <is>
          <t>Expense Line</t>
        </is>
      </c>
      <c r="F4" s="13" t="inlineStr">
        <is>
          <t>Paid By</t>
        </is>
      </c>
      <c r="G4" s="13" t="inlineStr">
        <is>
          <t>Payment Method</t>
        </is>
      </c>
      <c r="H4" s="13" t="inlineStr">
        <is>
          <t>Receipt?</t>
        </is>
      </c>
      <c r="I4" s="13" t="inlineStr">
        <is>
          <t>Notes</t>
        </is>
      </c>
      <c r="J4" s="13" t="inlineStr">
        <is>
          <t>Code</t>
        </is>
      </c>
      <c r="K4" s="13" t="inlineStr">
        <is>
          <t>Category</t>
        </is>
      </c>
      <c r="M4" s="2" t="inlineStr">
        <is>
          <t>Total recorded:</t>
        </is>
      </c>
      <c r="N4" s="15">
        <f>SUM(D5:D504)</f>
        <v/>
      </c>
    </row>
    <row r="5">
      <c r="A5" s="12" t="n"/>
      <c r="B5" s="68" t="n"/>
      <c r="C5" s="68" t="n"/>
      <c r="D5" s="26" t="n"/>
      <c r="E5" s="68" t="n"/>
      <c r="F5" s="68" t="n"/>
      <c r="G5" s="68" t="n"/>
      <c r="H5" s="68" t="n"/>
      <c r="I5" s="68" t="n"/>
      <c r="J5" s="38">
        <f>IF(E5="","",LEFT(E5,6))</f>
        <v/>
      </c>
      <c r="K5" s="39">
        <f>IF(J5="","",IFERROR(INDEX(EXPENSES!$A$5:$A$126,MATCH(J5,EXPENSES!$L$5:$L$126,0)),""))</f>
        <v/>
      </c>
      <c r="M5" s="2" t="inlineStr">
        <is>
          <t>Entries:</t>
        </is>
      </c>
      <c r="N5" s="40">
        <f>COUNT(D5:D504)</f>
        <v/>
      </c>
    </row>
    <row r="6">
      <c r="A6" s="12" t="n"/>
      <c r="B6" s="68" t="n"/>
      <c r="C6" s="68" t="n"/>
      <c r="D6" s="26" t="n"/>
      <c r="E6" s="68" t="n"/>
      <c r="F6" s="68" t="n"/>
      <c r="G6" s="68" t="n"/>
      <c r="H6" s="68" t="n"/>
      <c r="I6" s="68" t="n"/>
      <c r="J6" s="38">
        <f>IF(E6="","",LEFT(E6,6))</f>
        <v/>
      </c>
      <c r="K6" s="39">
        <f>IF(J6="","",IFERROR(INDEX(EXPENSES!$A$5:$A$126,MATCH(J6,EXPENSES!$L$5:$L$126,0)),""))</f>
        <v/>
      </c>
      <c r="M6" s="2" t="inlineStr">
        <is>
          <t>Uncoded entries:</t>
        </is>
      </c>
      <c r="N6" s="40">
        <f>COUNTIFS(D5:D504,"&lt;&gt;",E5:E504,"")</f>
        <v/>
      </c>
    </row>
    <row r="7">
      <c r="A7" s="12" t="n"/>
      <c r="B7" s="68" t="n"/>
      <c r="C7" s="68" t="n"/>
      <c r="D7" s="26" t="n"/>
      <c r="E7" s="68" t="n"/>
      <c r="F7" s="68" t="n"/>
      <c r="G7" s="68" t="n"/>
      <c r="H7" s="68" t="n"/>
      <c r="I7" s="68" t="n"/>
      <c r="J7" s="38">
        <f>IF(E7="","",LEFT(E7,6))</f>
        <v/>
      </c>
      <c r="K7" s="39">
        <f>IF(J7="","",IFERROR(INDEX(EXPENSES!$A$5:$A$126,MATCH(J7,EXPENSES!$L$5:$L$126,0)),""))</f>
        <v/>
      </c>
    </row>
    <row r="8">
      <c r="A8" s="12" t="n"/>
      <c r="B8" s="68" t="n"/>
      <c r="C8" s="68" t="n"/>
      <c r="D8" s="26" t="n"/>
      <c r="E8" s="68" t="n"/>
      <c r="F8" s="68" t="n"/>
      <c r="G8" s="68" t="n"/>
      <c r="H8" s="68" t="n"/>
      <c r="I8" s="68" t="n"/>
      <c r="J8" s="38">
        <f>IF(E8="","",LEFT(E8,6))</f>
        <v/>
      </c>
      <c r="K8" s="39">
        <f>IF(J8="","",IFERROR(INDEX(EXPENSES!$A$5:$A$126,MATCH(J8,EXPENSES!$L$5:$L$126,0)),""))</f>
        <v/>
      </c>
    </row>
    <row r="9">
      <c r="A9" s="12" t="n"/>
      <c r="B9" s="68" t="n"/>
      <c r="C9" s="68" t="n"/>
      <c r="D9" s="26" t="n"/>
      <c r="E9" s="68" t="n"/>
      <c r="F9" s="68" t="n"/>
      <c r="G9" s="68" t="n"/>
      <c r="H9" s="68" t="n"/>
      <c r="I9" s="68" t="n"/>
      <c r="J9" s="38">
        <f>IF(E9="","",LEFT(E9,6))</f>
        <v/>
      </c>
      <c r="K9" s="39">
        <f>IF(J9="","",IFERROR(INDEX(EXPENSES!$A$5:$A$126,MATCH(J9,EXPENSES!$L$5:$L$126,0)),""))</f>
        <v/>
      </c>
    </row>
    <row r="10">
      <c r="A10" s="12" t="n"/>
      <c r="B10" s="68" t="n"/>
      <c r="C10" s="68" t="n"/>
      <c r="D10" s="26" t="n"/>
      <c r="E10" s="68" t="n"/>
      <c r="F10" s="68" t="n"/>
      <c r="G10" s="68" t="n"/>
      <c r="H10" s="68" t="n"/>
      <c r="I10" s="68" t="n"/>
      <c r="J10" s="38">
        <f>IF(E10="","",LEFT(E10,6))</f>
        <v/>
      </c>
      <c r="K10" s="39">
        <f>IF(J10="","",IFERROR(INDEX(EXPENSES!$A$5:$A$126,MATCH(J10,EXPENSES!$L$5:$L$126,0)),""))</f>
        <v/>
      </c>
    </row>
    <row r="11">
      <c r="A11" s="12" t="n"/>
      <c r="B11" s="68" t="n"/>
      <c r="C11" s="68" t="n"/>
      <c r="D11" s="26" t="n"/>
      <c r="E11" s="68" t="n"/>
      <c r="F11" s="68" t="n"/>
      <c r="G11" s="68" t="n"/>
      <c r="H11" s="68" t="n"/>
      <c r="I11" s="68" t="n"/>
      <c r="J11" s="38">
        <f>IF(E11="","",LEFT(E11,6))</f>
        <v/>
      </c>
      <c r="K11" s="39">
        <f>IF(J11="","",IFERROR(INDEX(EXPENSES!$A$5:$A$126,MATCH(J11,EXPENSES!$L$5:$L$126,0)),""))</f>
        <v/>
      </c>
    </row>
    <row r="12">
      <c r="A12" s="12" t="n"/>
      <c r="B12" s="68" t="n"/>
      <c r="C12" s="68" t="n"/>
      <c r="D12" s="26" t="n"/>
      <c r="E12" s="68" t="n"/>
      <c r="F12" s="68" t="n"/>
      <c r="G12" s="68" t="n"/>
      <c r="H12" s="68" t="n"/>
      <c r="I12" s="68" t="n"/>
      <c r="J12" s="38">
        <f>IF(E12="","",LEFT(E12,6))</f>
        <v/>
      </c>
      <c r="K12" s="39">
        <f>IF(J12="","",IFERROR(INDEX(EXPENSES!$A$5:$A$126,MATCH(J12,EXPENSES!$L$5:$L$126,0)),""))</f>
        <v/>
      </c>
    </row>
    <row r="13">
      <c r="A13" s="12" t="n"/>
      <c r="B13" s="68" t="n"/>
      <c r="C13" s="68" t="n"/>
      <c r="D13" s="26" t="n"/>
      <c r="E13" s="68" t="n"/>
      <c r="F13" s="68" t="n"/>
      <c r="G13" s="68" t="n"/>
      <c r="H13" s="68" t="n"/>
      <c r="I13" s="68" t="n"/>
      <c r="J13" s="38">
        <f>IF(E13="","",LEFT(E13,6))</f>
        <v/>
      </c>
      <c r="K13" s="39">
        <f>IF(J13="","",IFERROR(INDEX(EXPENSES!$A$5:$A$126,MATCH(J13,EXPENSES!$L$5:$L$126,0)),""))</f>
        <v/>
      </c>
    </row>
    <row r="14">
      <c r="A14" s="12" t="n"/>
      <c r="B14" s="68" t="n"/>
      <c r="C14" s="68" t="n"/>
      <c r="D14" s="26" t="n"/>
      <c r="E14" s="68" t="n"/>
      <c r="F14" s="68" t="n"/>
      <c r="G14" s="68" t="n"/>
      <c r="H14" s="68" t="n"/>
      <c r="I14" s="68" t="n"/>
      <c r="J14" s="38">
        <f>IF(E14="","",LEFT(E14,6))</f>
        <v/>
      </c>
      <c r="K14" s="39">
        <f>IF(J14="","",IFERROR(INDEX(EXPENSES!$A$5:$A$126,MATCH(J14,EXPENSES!$L$5:$L$126,0)),""))</f>
        <v/>
      </c>
    </row>
    <row r="15">
      <c r="A15" s="12" t="n"/>
      <c r="B15" s="68" t="n"/>
      <c r="C15" s="68" t="n"/>
      <c r="D15" s="26" t="n"/>
      <c r="E15" s="68" t="n"/>
      <c r="F15" s="68" t="n"/>
      <c r="G15" s="68" t="n"/>
      <c r="H15" s="68" t="n"/>
      <c r="I15" s="68" t="n"/>
      <c r="J15" s="38">
        <f>IF(E15="","",LEFT(E15,6))</f>
        <v/>
      </c>
      <c r="K15" s="39">
        <f>IF(J15="","",IFERROR(INDEX(EXPENSES!$A$5:$A$126,MATCH(J15,EXPENSES!$L$5:$L$126,0)),""))</f>
        <v/>
      </c>
    </row>
    <row r="16">
      <c r="A16" s="12" t="n"/>
      <c r="B16" s="68" t="n"/>
      <c r="C16" s="68" t="n"/>
      <c r="D16" s="26" t="n"/>
      <c r="E16" s="68" t="n"/>
      <c r="F16" s="68" t="n"/>
      <c r="G16" s="68" t="n"/>
      <c r="H16" s="68" t="n"/>
      <c r="I16" s="68" t="n"/>
      <c r="J16" s="38">
        <f>IF(E16="","",LEFT(E16,6))</f>
        <v/>
      </c>
      <c r="K16" s="39">
        <f>IF(J16="","",IFERROR(INDEX(EXPENSES!$A$5:$A$126,MATCH(J16,EXPENSES!$L$5:$L$126,0)),""))</f>
        <v/>
      </c>
    </row>
    <row r="17">
      <c r="A17" s="12" t="n"/>
      <c r="B17" s="68" t="n"/>
      <c r="C17" s="68" t="n"/>
      <c r="D17" s="26" t="n"/>
      <c r="E17" s="68" t="n"/>
      <c r="F17" s="68" t="n"/>
      <c r="G17" s="68" t="n"/>
      <c r="H17" s="68" t="n"/>
      <c r="I17" s="68" t="n"/>
      <c r="J17" s="38">
        <f>IF(E17="","",LEFT(E17,6))</f>
        <v/>
      </c>
      <c r="K17" s="39">
        <f>IF(J17="","",IFERROR(INDEX(EXPENSES!$A$5:$A$126,MATCH(J17,EXPENSES!$L$5:$L$126,0)),""))</f>
        <v/>
      </c>
    </row>
    <row r="18">
      <c r="A18" s="12" t="n"/>
      <c r="B18" s="68" t="n"/>
      <c r="C18" s="68" t="n"/>
      <c r="D18" s="26" t="n"/>
      <c r="E18" s="68" t="n"/>
      <c r="F18" s="68" t="n"/>
      <c r="G18" s="68" t="n"/>
      <c r="H18" s="68" t="n"/>
      <c r="I18" s="68" t="n"/>
      <c r="J18" s="38">
        <f>IF(E18="","",LEFT(E18,6))</f>
        <v/>
      </c>
      <c r="K18" s="39">
        <f>IF(J18="","",IFERROR(INDEX(EXPENSES!$A$5:$A$126,MATCH(J18,EXPENSES!$L$5:$L$126,0)),""))</f>
        <v/>
      </c>
    </row>
    <row r="19">
      <c r="A19" s="12" t="n"/>
      <c r="B19" s="68" t="n"/>
      <c r="C19" s="68" t="n"/>
      <c r="D19" s="26" t="n"/>
      <c r="E19" s="68" t="n"/>
      <c r="F19" s="68" t="n"/>
      <c r="G19" s="68" t="n"/>
      <c r="H19" s="68" t="n"/>
      <c r="I19" s="68" t="n"/>
      <c r="J19" s="38">
        <f>IF(E19="","",LEFT(E19,6))</f>
        <v/>
      </c>
      <c r="K19" s="39">
        <f>IF(J19="","",IFERROR(INDEX(EXPENSES!$A$5:$A$126,MATCH(J19,EXPENSES!$L$5:$L$126,0)),""))</f>
        <v/>
      </c>
    </row>
    <row r="20">
      <c r="A20" s="12" t="n"/>
      <c r="B20" s="68" t="n"/>
      <c r="C20" s="68" t="n"/>
      <c r="D20" s="26" t="n"/>
      <c r="E20" s="68" t="n"/>
      <c r="F20" s="68" t="n"/>
      <c r="G20" s="68" t="n"/>
      <c r="H20" s="68" t="n"/>
      <c r="I20" s="68" t="n"/>
      <c r="J20" s="38">
        <f>IF(E20="","",LEFT(E20,6))</f>
        <v/>
      </c>
      <c r="K20" s="39">
        <f>IF(J20="","",IFERROR(INDEX(EXPENSES!$A$5:$A$126,MATCH(J20,EXPENSES!$L$5:$L$126,0)),""))</f>
        <v/>
      </c>
    </row>
    <row r="21">
      <c r="A21" s="12" t="n"/>
      <c r="B21" s="68" t="n"/>
      <c r="C21" s="68" t="n"/>
      <c r="D21" s="26" t="n"/>
      <c r="E21" s="68" t="n"/>
      <c r="F21" s="68" t="n"/>
      <c r="G21" s="68" t="n"/>
      <c r="H21" s="68" t="n"/>
      <c r="I21" s="68" t="n"/>
      <c r="J21" s="38">
        <f>IF(E21="","",LEFT(E21,6))</f>
        <v/>
      </c>
      <c r="K21" s="39">
        <f>IF(J21="","",IFERROR(INDEX(EXPENSES!$A$5:$A$126,MATCH(J21,EXPENSES!$L$5:$L$126,0)),""))</f>
        <v/>
      </c>
    </row>
    <row r="22">
      <c r="A22" s="12" t="n"/>
      <c r="B22" s="68" t="n"/>
      <c r="C22" s="68" t="n"/>
      <c r="D22" s="26" t="n"/>
      <c r="E22" s="68" t="n"/>
      <c r="F22" s="68" t="n"/>
      <c r="G22" s="68" t="n"/>
      <c r="H22" s="68" t="n"/>
      <c r="I22" s="68" t="n"/>
      <c r="J22" s="38">
        <f>IF(E22="","",LEFT(E22,6))</f>
        <v/>
      </c>
      <c r="K22" s="39">
        <f>IF(J22="","",IFERROR(INDEX(EXPENSES!$A$5:$A$126,MATCH(J22,EXPENSES!$L$5:$L$126,0)),""))</f>
        <v/>
      </c>
    </row>
    <row r="23">
      <c r="A23" s="12" t="n"/>
      <c r="B23" s="68" t="n"/>
      <c r="C23" s="68" t="n"/>
      <c r="D23" s="26" t="n"/>
      <c r="E23" s="68" t="n"/>
      <c r="F23" s="68" t="n"/>
      <c r="G23" s="68" t="n"/>
      <c r="H23" s="68" t="n"/>
      <c r="I23" s="68" t="n"/>
      <c r="J23" s="38">
        <f>IF(E23="","",LEFT(E23,6))</f>
        <v/>
      </c>
      <c r="K23" s="39">
        <f>IF(J23="","",IFERROR(INDEX(EXPENSES!$A$5:$A$126,MATCH(J23,EXPENSES!$L$5:$L$126,0)),""))</f>
        <v/>
      </c>
    </row>
    <row r="24">
      <c r="A24" s="12" t="n"/>
      <c r="B24" s="68" t="n"/>
      <c r="C24" s="68" t="n"/>
      <c r="D24" s="26" t="n"/>
      <c r="E24" s="68" t="n"/>
      <c r="F24" s="68" t="n"/>
      <c r="G24" s="68" t="n"/>
      <c r="H24" s="68" t="n"/>
      <c r="I24" s="68" t="n"/>
      <c r="J24" s="38">
        <f>IF(E24="","",LEFT(E24,6))</f>
        <v/>
      </c>
      <c r="K24" s="39">
        <f>IF(J24="","",IFERROR(INDEX(EXPENSES!$A$5:$A$126,MATCH(J24,EXPENSES!$L$5:$L$126,0)),""))</f>
        <v/>
      </c>
    </row>
    <row r="25">
      <c r="A25" s="12" t="n"/>
      <c r="B25" s="68" t="n"/>
      <c r="C25" s="68" t="n"/>
      <c r="D25" s="26" t="n"/>
      <c r="E25" s="68" t="n"/>
      <c r="F25" s="68" t="n"/>
      <c r="G25" s="68" t="n"/>
      <c r="H25" s="68" t="n"/>
      <c r="I25" s="68" t="n"/>
      <c r="J25" s="38">
        <f>IF(E25="","",LEFT(E25,6))</f>
        <v/>
      </c>
      <c r="K25" s="39">
        <f>IF(J25="","",IFERROR(INDEX(EXPENSES!$A$5:$A$126,MATCH(J25,EXPENSES!$L$5:$L$126,0)),""))</f>
        <v/>
      </c>
    </row>
    <row r="26">
      <c r="A26" s="12" t="n"/>
      <c r="B26" s="68" t="n"/>
      <c r="C26" s="68" t="n"/>
      <c r="D26" s="26" t="n"/>
      <c r="E26" s="68" t="n"/>
      <c r="F26" s="68" t="n"/>
      <c r="G26" s="68" t="n"/>
      <c r="H26" s="68" t="n"/>
      <c r="I26" s="68" t="n"/>
      <c r="J26" s="38">
        <f>IF(E26="","",LEFT(E26,6))</f>
        <v/>
      </c>
      <c r="K26" s="39">
        <f>IF(J26="","",IFERROR(INDEX(EXPENSES!$A$5:$A$126,MATCH(J26,EXPENSES!$L$5:$L$126,0)),""))</f>
        <v/>
      </c>
    </row>
    <row r="27">
      <c r="A27" s="12" t="n"/>
      <c r="B27" s="68" t="n"/>
      <c r="C27" s="68" t="n"/>
      <c r="D27" s="26" t="n"/>
      <c r="E27" s="68" t="n"/>
      <c r="F27" s="68" t="n"/>
      <c r="G27" s="68" t="n"/>
      <c r="H27" s="68" t="n"/>
      <c r="I27" s="68" t="n"/>
      <c r="J27" s="38">
        <f>IF(E27="","",LEFT(E27,6))</f>
        <v/>
      </c>
      <c r="K27" s="39">
        <f>IF(J27="","",IFERROR(INDEX(EXPENSES!$A$5:$A$126,MATCH(J27,EXPENSES!$L$5:$L$126,0)),""))</f>
        <v/>
      </c>
    </row>
    <row r="28">
      <c r="A28" s="12" t="n"/>
      <c r="B28" s="68" t="n"/>
      <c r="C28" s="68" t="n"/>
      <c r="D28" s="26" t="n"/>
      <c r="E28" s="68" t="n"/>
      <c r="F28" s="68" t="n"/>
      <c r="G28" s="68" t="n"/>
      <c r="H28" s="68" t="n"/>
      <c r="I28" s="68" t="n"/>
      <c r="J28" s="38">
        <f>IF(E28="","",LEFT(E28,6))</f>
        <v/>
      </c>
      <c r="K28" s="39">
        <f>IF(J28="","",IFERROR(INDEX(EXPENSES!$A$5:$A$126,MATCH(J28,EXPENSES!$L$5:$L$126,0)),""))</f>
        <v/>
      </c>
    </row>
    <row r="29">
      <c r="A29" s="12" t="n"/>
      <c r="B29" s="68" t="n"/>
      <c r="C29" s="68" t="n"/>
      <c r="D29" s="26" t="n"/>
      <c r="E29" s="68" t="n"/>
      <c r="F29" s="68" t="n"/>
      <c r="G29" s="68" t="n"/>
      <c r="H29" s="68" t="n"/>
      <c r="I29" s="68" t="n"/>
      <c r="J29" s="38">
        <f>IF(E29="","",LEFT(E29,6))</f>
        <v/>
      </c>
      <c r="K29" s="39">
        <f>IF(J29="","",IFERROR(INDEX(EXPENSES!$A$5:$A$126,MATCH(J29,EXPENSES!$L$5:$L$126,0)),""))</f>
        <v/>
      </c>
    </row>
    <row r="30">
      <c r="A30" s="12" t="n"/>
      <c r="B30" s="68" t="n"/>
      <c r="C30" s="68" t="n"/>
      <c r="D30" s="26" t="n"/>
      <c r="E30" s="68" t="n"/>
      <c r="F30" s="68" t="n"/>
      <c r="G30" s="68" t="n"/>
      <c r="H30" s="68" t="n"/>
      <c r="I30" s="68" t="n"/>
      <c r="J30" s="38">
        <f>IF(E30="","",LEFT(E30,6))</f>
        <v/>
      </c>
      <c r="K30" s="39">
        <f>IF(J30="","",IFERROR(INDEX(EXPENSES!$A$5:$A$126,MATCH(J30,EXPENSES!$L$5:$L$126,0)),""))</f>
        <v/>
      </c>
    </row>
    <row r="31">
      <c r="A31" s="12" t="n"/>
      <c r="B31" s="68" t="n"/>
      <c r="C31" s="68" t="n"/>
      <c r="D31" s="26" t="n"/>
      <c r="E31" s="68" t="n"/>
      <c r="F31" s="68" t="n"/>
      <c r="G31" s="68" t="n"/>
      <c r="H31" s="68" t="n"/>
      <c r="I31" s="68" t="n"/>
      <c r="J31" s="38">
        <f>IF(E31="","",LEFT(E31,6))</f>
        <v/>
      </c>
      <c r="K31" s="39">
        <f>IF(J31="","",IFERROR(INDEX(EXPENSES!$A$5:$A$126,MATCH(J31,EXPENSES!$L$5:$L$126,0)),""))</f>
        <v/>
      </c>
    </row>
    <row r="32">
      <c r="A32" s="12" t="n"/>
      <c r="B32" s="68" t="n"/>
      <c r="C32" s="68" t="n"/>
      <c r="D32" s="26" t="n"/>
      <c r="E32" s="68" t="n"/>
      <c r="F32" s="68" t="n"/>
      <c r="G32" s="68" t="n"/>
      <c r="H32" s="68" t="n"/>
      <c r="I32" s="68" t="n"/>
      <c r="J32" s="38">
        <f>IF(E32="","",LEFT(E32,6))</f>
        <v/>
      </c>
      <c r="K32" s="39">
        <f>IF(J32="","",IFERROR(INDEX(EXPENSES!$A$5:$A$126,MATCH(J32,EXPENSES!$L$5:$L$126,0)),""))</f>
        <v/>
      </c>
    </row>
    <row r="33">
      <c r="A33" s="12" t="n"/>
      <c r="B33" s="68" t="n"/>
      <c r="C33" s="68" t="n"/>
      <c r="D33" s="26" t="n"/>
      <c r="E33" s="68" t="n"/>
      <c r="F33" s="68" t="n"/>
      <c r="G33" s="68" t="n"/>
      <c r="H33" s="68" t="n"/>
      <c r="I33" s="68" t="n"/>
      <c r="J33" s="38">
        <f>IF(E33="","",LEFT(E33,6))</f>
        <v/>
      </c>
      <c r="K33" s="39">
        <f>IF(J33="","",IFERROR(INDEX(EXPENSES!$A$5:$A$126,MATCH(J33,EXPENSES!$L$5:$L$126,0)),""))</f>
        <v/>
      </c>
    </row>
    <row r="34">
      <c r="A34" s="12" t="n"/>
      <c r="B34" s="68" t="n"/>
      <c r="C34" s="68" t="n"/>
      <c r="D34" s="26" t="n"/>
      <c r="E34" s="68" t="n"/>
      <c r="F34" s="68" t="n"/>
      <c r="G34" s="68" t="n"/>
      <c r="H34" s="68" t="n"/>
      <c r="I34" s="68" t="n"/>
      <c r="J34" s="38">
        <f>IF(E34="","",LEFT(E34,6))</f>
        <v/>
      </c>
      <c r="K34" s="39">
        <f>IF(J34="","",IFERROR(INDEX(EXPENSES!$A$5:$A$126,MATCH(J34,EXPENSES!$L$5:$L$126,0)),""))</f>
        <v/>
      </c>
    </row>
    <row r="35">
      <c r="A35" s="12" t="n"/>
      <c r="B35" s="68" t="n"/>
      <c r="C35" s="68" t="n"/>
      <c r="D35" s="26" t="n"/>
      <c r="E35" s="68" t="n"/>
      <c r="F35" s="68" t="n"/>
      <c r="G35" s="68" t="n"/>
      <c r="H35" s="68" t="n"/>
      <c r="I35" s="68" t="n"/>
      <c r="J35" s="38">
        <f>IF(E35="","",LEFT(E35,6))</f>
        <v/>
      </c>
      <c r="K35" s="39">
        <f>IF(J35="","",IFERROR(INDEX(EXPENSES!$A$5:$A$126,MATCH(J35,EXPENSES!$L$5:$L$126,0)),""))</f>
        <v/>
      </c>
    </row>
    <row r="36">
      <c r="A36" s="12" t="n"/>
      <c r="B36" s="68" t="n"/>
      <c r="C36" s="68" t="n"/>
      <c r="D36" s="26" t="n"/>
      <c r="E36" s="68" t="n"/>
      <c r="F36" s="68" t="n"/>
      <c r="G36" s="68" t="n"/>
      <c r="H36" s="68" t="n"/>
      <c r="I36" s="68" t="n"/>
      <c r="J36" s="38">
        <f>IF(E36="","",LEFT(E36,6))</f>
        <v/>
      </c>
      <c r="K36" s="39">
        <f>IF(J36="","",IFERROR(INDEX(EXPENSES!$A$5:$A$126,MATCH(J36,EXPENSES!$L$5:$L$126,0)),""))</f>
        <v/>
      </c>
    </row>
    <row r="37">
      <c r="A37" s="12" t="n"/>
      <c r="B37" s="68" t="n"/>
      <c r="C37" s="68" t="n"/>
      <c r="D37" s="26" t="n"/>
      <c r="E37" s="68" t="n"/>
      <c r="F37" s="68" t="n"/>
      <c r="G37" s="68" t="n"/>
      <c r="H37" s="68" t="n"/>
      <c r="I37" s="68" t="n"/>
      <c r="J37" s="38">
        <f>IF(E37="","",LEFT(E37,6))</f>
        <v/>
      </c>
      <c r="K37" s="39">
        <f>IF(J37="","",IFERROR(INDEX(EXPENSES!$A$5:$A$126,MATCH(J37,EXPENSES!$L$5:$L$126,0)),""))</f>
        <v/>
      </c>
    </row>
    <row r="38">
      <c r="A38" s="12" t="n"/>
      <c r="B38" s="68" t="n"/>
      <c r="C38" s="68" t="n"/>
      <c r="D38" s="26" t="n"/>
      <c r="E38" s="68" t="n"/>
      <c r="F38" s="68" t="n"/>
      <c r="G38" s="68" t="n"/>
      <c r="H38" s="68" t="n"/>
      <c r="I38" s="68" t="n"/>
      <c r="J38" s="38">
        <f>IF(E38="","",LEFT(E38,6))</f>
        <v/>
      </c>
      <c r="K38" s="39">
        <f>IF(J38="","",IFERROR(INDEX(EXPENSES!$A$5:$A$126,MATCH(J38,EXPENSES!$L$5:$L$126,0)),""))</f>
        <v/>
      </c>
    </row>
    <row r="39">
      <c r="A39" s="12" t="n"/>
      <c r="B39" s="68" t="n"/>
      <c r="C39" s="68" t="n"/>
      <c r="D39" s="26" t="n"/>
      <c r="E39" s="68" t="n"/>
      <c r="F39" s="68" t="n"/>
      <c r="G39" s="68" t="n"/>
      <c r="H39" s="68" t="n"/>
      <c r="I39" s="68" t="n"/>
      <c r="J39" s="38">
        <f>IF(E39="","",LEFT(E39,6))</f>
        <v/>
      </c>
      <c r="K39" s="39">
        <f>IF(J39="","",IFERROR(INDEX(EXPENSES!$A$5:$A$126,MATCH(J39,EXPENSES!$L$5:$L$126,0)),""))</f>
        <v/>
      </c>
    </row>
    <row r="40">
      <c r="A40" s="12" t="n"/>
      <c r="B40" s="68" t="n"/>
      <c r="C40" s="68" t="n"/>
      <c r="D40" s="26" t="n"/>
      <c r="E40" s="68" t="n"/>
      <c r="F40" s="68" t="n"/>
      <c r="G40" s="68" t="n"/>
      <c r="H40" s="68" t="n"/>
      <c r="I40" s="68" t="n"/>
      <c r="J40" s="38">
        <f>IF(E40="","",LEFT(E40,6))</f>
        <v/>
      </c>
      <c r="K40" s="39">
        <f>IF(J40="","",IFERROR(INDEX(EXPENSES!$A$5:$A$126,MATCH(J40,EXPENSES!$L$5:$L$126,0)),""))</f>
        <v/>
      </c>
    </row>
    <row r="41">
      <c r="A41" s="12" t="n"/>
      <c r="B41" s="68" t="n"/>
      <c r="C41" s="68" t="n"/>
      <c r="D41" s="26" t="n"/>
      <c r="E41" s="68" t="n"/>
      <c r="F41" s="68" t="n"/>
      <c r="G41" s="68" t="n"/>
      <c r="H41" s="68" t="n"/>
      <c r="I41" s="68" t="n"/>
      <c r="J41" s="38">
        <f>IF(E41="","",LEFT(E41,6))</f>
        <v/>
      </c>
      <c r="K41" s="39">
        <f>IF(J41="","",IFERROR(INDEX(EXPENSES!$A$5:$A$126,MATCH(J41,EXPENSES!$L$5:$L$126,0)),""))</f>
        <v/>
      </c>
    </row>
    <row r="42">
      <c r="A42" s="12" t="n"/>
      <c r="B42" s="68" t="n"/>
      <c r="C42" s="68" t="n"/>
      <c r="D42" s="26" t="n"/>
      <c r="E42" s="68" t="n"/>
      <c r="F42" s="68" t="n"/>
      <c r="G42" s="68" t="n"/>
      <c r="H42" s="68" t="n"/>
      <c r="I42" s="68" t="n"/>
      <c r="J42" s="38">
        <f>IF(E42="","",LEFT(E42,6))</f>
        <v/>
      </c>
      <c r="K42" s="39">
        <f>IF(J42="","",IFERROR(INDEX(EXPENSES!$A$5:$A$126,MATCH(J42,EXPENSES!$L$5:$L$126,0)),""))</f>
        <v/>
      </c>
    </row>
    <row r="43">
      <c r="A43" s="12" t="n"/>
      <c r="B43" s="68" t="n"/>
      <c r="C43" s="68" t="n"/>
      <c r="D43" s="26" t="n"/>
      <c r="E43" s="68" t="n"/>
      <c r="F43" s="68" t="n"/>
      <c r="G43" s="68" t="n"/>
      <c r="H43" s="68" t="n"/>
      <c r="I43" s="68" t="n"/>
      <c r="J43" s="38">
        <f>IF(E43="","",LEFT(E43,6))</f>
        <v/>
      </c>
      <c r="K43" s="39">
        <f>IF(J43="","",IFERROR(INDEX(EXPENSES!$A$5:$A$126,MATCH(J43,EXPENSES!$L$5:$L$126,0)),""))</f>
        <v/>
      </c>
    </row>
    <row r="44">
      <c r="A44" s="12" t="n"/>
      <c r="B44" s="68" t="n"/>
      <c r="C44" s="68" t="n"/>
      <c r="D44" s="26" t="n"/>
      <c r="E44" s="68" t="n"/>
      <c r="F44" s="68" t="n"/>
      <c r="G44" s="68" t="n"/>
      <c r="H44" s="68" t="n"/>
      <c r="I44" s="68" t="n"/>
      <c r="J44" s="38">
        <f>IF(E44="","",LEFT(E44,6))</f>
        <v/>
      </c>
      <c r="K44" s="39">
        <f>IF(J44="","",IFERROR(INDEX(EXPENSES!$A$5:$A$126,MATCH(J44,EXPENSES!$L$5:$L$126,0)),""))</f>
        <v/>
      </c>
    </row>
    <row r="45">
      <c r="A45" s="12" t="n"/>
      <c r="B45" s="68" t="n"/>
      <c r="C45" s="68" t="n"/>
      <c r="D45" s="26" t="n"/>
      <c r="E45" s="68" t="n"/>
      <c r="F45" s="68" t="n"/>
      <c r="G45" s="68" t="n"/>
      <c r="H45" s="68" t="n"/>
      <c r="I45" s="68" t="n"/>
      <c r="J45" s="38">
        <f>IF(E45="","",LEFT(E45,6))</f>
        <v/>
      </c>
      <c r="K45" s="39">
        <f>IF(J45="","",IFERROR(INDEX(EXPENSES!$A$5:$A$126,MATCH(J45,EXPENSES!$L$5:$L$126,0)),""))</f>
        <v/>
      </c>
    </row>
    <row r="46">
      <c r="A46" s="12" t="n"/>
      <c r="B46" s="68" t="n"/>
      <c r="C46" s="68" t="n"/>
      <c r="D46" s="26" t="n"/>
      <c r="E46" s="68" t="n"/>
      <c r="F46" s="68" t="n"/>
      <c r="G46" s="68" t="n"/>
      <c r="H46" s="68" t="n"/>
      <c r="I46" s="68" t="n"/>
      <c r="J46" s="38">
        <f>IF(E46="","",LEFT(E46,6))</f>
        <v/>
      </c>
      <c r="K46" s="39">
        <f>IF(J46="","",IFERROR(INDEX(EXPENSES!$A$5:$A$126,MATCH(J46,EXPENSES!$L$5:$L$126,0)),""))</f>
        <v/>
      </c>
    </row>
    <row r="47">
      <c r="A47" s="12" t="n"/>
      <c r="B47" s="68" t="n"/>
      <c r="C47" s="68" t="n"/>
      <c r="D47" s="26" t="n"/>
      <c r="E47" s="68" t="n"/>
      <c r="F47" s="68" t="n"/>
      <c r="G47" s="68" t="n"/>
      <c r="H47" s="68" t="n"/>
      <c r="I47" s="68" t="n"/>
      <c r="J47" s="38">
        <f>IF(E47="","",LEFT(E47,6))</f>
        <v/>
      </c>
      <c r="K47" s="39">
        <f>IF(J47="","",IFERROR(INDEX(EXPENSES!$A$5:$A$126,MATCH(J47,EXPENSES!$L$5:$L$126,0)),""))</f>
        <v/>
      </c>
    </row>
    <row r="48">
      <c r="A48" s="12" t="n"/>
      <c r="B48" s="68" t="n"/>
      <c r="C48" s="68" t="n"/>
      <c r="D48" s="26" t="n"/>
      <c r="E48" s="68" t="n"/>
      <c r="F48" s="68" t="n"/>
      <c r="G48" s="68" t="n"/>
      <c r="H48" s="68" t="n"/>
      <c r="I48" s="68" t="n"/>
      <c r="J48" s="38">
        <f>IF(E48="","",LEFT(E48,6))</f>
        <v/>
      </c>
      <c r="K48" s="39">
        <f>IF(J48="","",IFERROR(INDEX(EXPENSES!$A$5:$A$126,MATCH(J48,EXPENSES!$L$5:$L$126,0)),""))</f>
        <v/>
      </c>
    </row>
    <row r="49">
      <c r="A49" s="12" t="n"/>
      <c r="B49" s="68" t="n"/>
      <c r="C49" s="68" t="n"/>
      <c r="D49" s="26" t="n"/>
      <c r="E49" s="68" t="n"/>
      <c r="F49" s="68" t="n"/>
      <c r="G49" s="68" t="n"/>
      <c r="H49" s="68" t="n"/>
      <c r="I49" s="68" t="n"/>
      <c r="J49" s="38">
        <f>IF(E49="","",LEFT(E49,6))</f>
        <v/>
      </c>
      <c r="K49" s="39">
        <f>IF(J49="","",IFERROR(INDEX(EXPENSES!$A$5:$A$126,MATCH(J49,EXPENSES!$L$5:$L$126,0)),""))</f>
        <v/>
      </c>
    </row>
    <row r="50">
      <c r="A50" s="12" t="n"/>
      <c r="B50" s="68" t="n"/>
      <c r="C50" s="68" t="n"/>
      <c r="D50" s="26" t="n"/>
      <c r="E50" s="68" t="n"/>
      <c r="F50" s="68" t="n"/>
      <c r="G50" s="68" t="n"/>
      <c r="H50" s="68" t="n"/>
      <c r="I50" s="68" t="n"/>
      <c r="J50" s="38">
        <f>IF(E50="","",LEFT(E50,6))</f>
        <v/>
      </c>
      <c r="K50" s="39">
        <f>IF(J50="","",IFERROR(INDEX(EXPENSES!$A$5:$A$126,MATCH(J50,EXPENSES!$L$5:$L$126,0)),""))</f>
        <v/>
      </c>
    </row>
    <row r="51">
      <c r="A51" s="12" t="n"/>
      <c r="B51" s="68" t="n"/>
      <c r="C51" s="68" t="n"/>
      <c r="D51" s="26" t="n"/>
      <c r="E51" s="68" t="n"/>
      <c r="F51" s="68" t="n"/>
      <c r="G51" s="68" t="n"/>
      <c r="H51" s="68" t="n"/>
      <c r="I51" s="68" t="n"/>
      <c r="J51" s="38">
        <f>IF(E51="","",LEFT(E51,6))</f>
        <v/>
      </c>
      <c r="K51" s="39">
        <f>IF(J51="","",IFERROR(INDEX(EXPENSES!$A$5:$A$126,MATCH(J51,EXPENSES!$L$5:$L$126,0)),""))</f>
        <v/>
      </c>
    </row>
    <row r="52">
      <c r="A52" s="12" t="n"/>
      <c r="B52" s="68" t="n"/>
      <c r="C52" s="68" t="n"/>
      <c r="D52" s="26" t="n"/>
      <c r="E52" s="68" t="n"/>
      <c r="F52" s="68" t="n"/>
      <c r="G52" s="68" t="n"/>
      <c r="H52" s="68" t="n"/>
      <c r="I52" s="68" t="n"/>
      <c r="J52" s="38">
        <f>IF(E52="","",LEFT(E52,6))</f>
        <v/>
      </c>
      <c r="K52" s="39">
        <f>IF(J52="","",IFERROR(INDEX(EXPENSES!$A$5:$A$126,MATCH(J52,EXPENSES!$L$5:$L$126,0)),""))</f>
        <v/>
      </c>
    </row>
    <row r="53">
      <c r="A53" s="12" t="n"/>
      <c r="B53" s="68" t="n"/>
      <c r="C53" s="68" t="n"/>
      <c r="D53" s="26" t="n"/>
      <c r="E53" s="68" t="n"/>
      <c r="F53" s="68" t="n"/>
      <c r="G53" s="68" t="n"/>
      <c r="H53" s="68" t="n"/>
      <c r="I53" s="68" t="n"/>
      <c r="J53" s="38">
        <f>IF(E53="","",LEFT(E53,6))</f>
        <v/>
      </c>
      <c r="K53" s="39">
        <f>IF(J53="","",IFERROR(INDEX(EXPENSES!$A$5:$A$126,MATCH(J53,EXPENSES!$L$5:$L$126,0)),""))</f>
        <v/>
      </c>
    </row>
    <row r="54">
      <c r="A54" s="12" t="n"/>
      <c r="B54" s="68" t="n"/>
      <c r="C54" s="68" t="n"/>
      <c r="D54" s="26" t="n"/>
      <c r="E54" s="68" t="n"/>
      <c r="F54" s="68" t="n"/>
      <c r="G54" s="68" t="n"/>
      <c r="H54" s="68" t="n"/>
      <c r="I54" s="68" t="n"/>
      <c r="J54" s="38">
        <f>IF(E54="","",LEFT(E54,6))</f>
        <v/>
      </c>
      <c r="K54" s="39">
        <f>IF(J54="","",IFERROR(INDEX(EXPENSES!$A$5:$A$126,MATCH(J54,EXPENSES!$L$5:$L$126,0)),""))</f>
        <v/>
      </c>
    </row>
    <row r="55">
      <c r="A55" s="12" t="n"/>
      <c r="B55" s="68" t="n"/>
      <c r="C55" s="68" t="n"/>
      <c r="D55" s="26" t="n"/>
      <c r="E55" s="68" t="n"/>
      <c r="F55" s="68" t="n"/>
      <c r="G55" s="68" t="n"/>
      <c r="H55" s="68" t="n"/>
      <c r="I55" s="68" t="n"/>
      <c r="J55" s="38">
        <f>IF(E55="","",LEFT(E55,6))</f>
        <v/>
      </c>
      <c r="K55" s="39">
        <f>IF(J55="","",IFERROR(INDEX(EXPENSES!$A$5:$A$126,MATCH(J55,EXPENSES!$L$5:$L$126,0)),""))</f>
        <v/>
      </c>
    </row>
    <row r="56">
      <c r="A56" s="12" t="n"/>
      <c r="B56" s="68" t="n"/>
      <c r="C56" s="68" t="n"/>
      <c r="D56" s="26" t="n"/>
      <c r="E56" s="68" t="n"/>
      <c r="F56" s="68" t="n"/>
      <c r="G56" s="68" t="n"/>
      <c r="H56" s="68" t="n"/>
      <c r="I56" s="68" t="n"/>
      <c r="J56" s="38">
        <f>IF(E56="","",LEFT(E56,6))</f>
        <v/>
      </c>
      <c r="K56" s="39">
        <f>IF(J56="","",IFERROR(INDEX(EXPENSES!$A$5:$A$126,MATCH(J56,EXPENSES!$L$5:$L$126,0)),""))</f>
        <v/>
      </c>
    </row>
    <row r="57">
      <c r="A57" s="12" t="n"/>
      <c r="B57" s="68" t="n"/>
      <c r="C57" s="68" t="n"/>
      <c r="D57" s="26" t="n"/>
      <c r="E57" s="68" t="n"/>
      <c r="F57" s="68" t="n"/>
      <c r="G57" s="68" t="n"/>
      <c r="H57" s="68" t="n"/>
      <c r="I57" s="68" t="n"/>
      <c r="J57" s="38">
        <f>IF(E57="","",LEFT(E57,6))</f>
        <v/>
      </c>
      <c r="K57" s="39">
        <f>IF(J57="","",IFERROR(INDEX(EXPENSES!$A$5:$A$126,MATCH(J57,EXPENSES!$L$5:$L$126,0)),""))</f>
        <v/>
      </c>
    </row>
    <row r="58">
      <c r="A58" s="12" t="n"/>
      <c r="B58" s="68" t="n"/>
      <c r="C58" s="68" t="n"/>
      <c r="D58" s="26" t="n"/>
      <c r="E58" s="68" t="n"/>
      <c r="F58" s="68" t="n"/>
      <c r="G58" s="68" t="n"/>
      <c r="H58" s="68" t="n"/>
      <c r="I58" s="68" t="n"/>
      <c r="J58" s="38">
        <f>IF(E58="","",LEFT(E58,6))</f>
        <v/>
      </c>
      <c r="K58" s="39">
        <f>IF(J58="","",IFERROR(INDEX(EXPENSES!$A$5:$A$126,MATCH(J58,EXPENSES!$L$5:$L$126,0)),""))</f>
        <v/>
      </c>
    </row>
    <row r="59">
      <c r="A59" s="12" t="n"/>
      <c r="B59" s="68" t="n"/>
      <c r="C59" s="68" t="n"/>
      <c r="D59" s="26" t="n"/>
      <c r="E59" s="68" t="n"/>
      <c r="F59" s="68" t="n"/>
      <c r="G59" s="68" t="n"/>
      <c r="H59" s="68" t="n"/>
      <c r="I59" s="68" t="n"/>
      <c r="J59" s="38">
        <f>IF(E59="","",LEFT(E59,6))</f>
        <v/>
      </c>
      <c r="K59" s="39">
        <f>IF(J59="","",IFERROR(INDEX(EXPENSES!$A$5:$A$126,MATCH(J59,EXPENSES!$L$5:$L$126,0)),""))</f>
        <v/>
      </c>
    </row>
    <row r="60">
      <c r="A60" s="12" t="n"/>
      <c r="B60" s="68" t="n"/>
      <c r="C60" s="68" t="n"/>
      <c r="D60" s="26" t="n"/>
      <c r="E60" s="68" t="n"/>
      <c r="F60" s="68" t="n"/>
      <c r="G60" s="68" t="n"/>
      <c r="H60" s="68" t="n"/>
      <c r="I60" s="68" t="n"/>
      <c r="J60" s="38">
        <f>IF(E60="","",LEFT(E60,6))</f>
        <v/>
      </c>
      <c r="K60" s="39">
        <f>IF(J60="","",IFERROR(INDEX(EXPENSES!$A$5:$A$126,MATCH(J60,EXPENSES!$L$5:$L$126,0)),""))</f>
        <v/>
      </c>
    </row>
    <row r="61">
      <c r="A61" s="12" t="n"/>
      <c r="B61" s="68" t="n"/>
      <c r="C61" s="68" t="n"/>
      <c r="D61" s="26" t="n"/>
      <c r="E61" s="68" t="n"/>
      <c r="F61" s="68" t="n"/>
      <c r="G61" s="68" t="n"/>
      <c r="H61" s="68" t="n"/>
      <c r="I61" s="68" t="n"/>
      <c r="J61" s="38">
        <f>IF(E61="","",LEFT(E61,6))</f>
        <v/>
      </c>
      <c r="K61" s="39">
        <f>IF(J61="","",IFERROR(INDEX(EXPENSES!$A$5:$A$126,MATCH(J61,EXPENSES!$L$5:$L$126,0)),""))</f>
        <v/>
      </c>
    </row>
    <row r="62">
      <c r="A62" s="12" t="n"/>
      <c r="B62" s="68" t="n"/>
      <c r="C62" s="68" t="n"/>
      <c r="D62" s="26" t="n"/>
      <c r="E62" s="68" t="n"/>
      <c r="F62" s="68" t="n"/>
      <c r="G62" s="68" t="n"/>
      <c r="H62" s="68" t="n"/>
      <c r="I62" s="68" t="n"/>
      <c r="J62" s="38">
        <f>IF(E62="","",LEFT(E62,6))</f>
        <v/>
      </c>
      <c r="K62" s="39">
        <f>IF(J62="","",IFERROR(INDEX(EXPENSES!$A$5:$A$126,MATCH(J62,EXPENSES!$L$5:$L$126,0)),""))</f>
        <v/>
      </c>
    </row>
    <row r="63">
      <c r="A63" s="12" t="n"/>
      <c r="B63" s="68" t="n"/>
      <c r="C63" s="68" t="n"/>
      <c r="D63" s="26" t="n"/>
      <c r="E63" s="68" t="n"/>
      <c r="F63" s="68" t="n"/>
      <c r="G63" s="68" t="n"/>
      <c r="H63" s="68" t="n"/>
      <c r="I63" s="68" t="n"/>
      <c r="J63" s="38">
        <f>IF(E63="","",LEFT(E63,6))</f>
        <v/>
      </c>
      <c r="K63" s="39">
        <f>IF(J63="","",IFERROR(INDEX(EXPENSES!$A$5:$A$126,MATCH(J63,EXPENSES!$L$5:$L$126,0)),""))</f>
        <v/>
      </c>
    </row>
    <row r="64">
      <c r="A64" s="12" t="n"/>
      <c r="B64" s="68" t="n"/>
      <c r="C64" s="68" t="n"/>
      <c r="D64" s="26" t="n"/>
      <c r="E64" s="68" t="n"/>
      <c r="F64" s="68" t="n"/>
      <c r="G64" s="68" t="n"/>
      <c r="H64" s="68" t="n"/>
      <c r="I64" s="68" t="n"/>
      <c r="J64" s="38">
        <f>IF(E64="","",LEFT(E64,6))</f>
        <v/>
      </c>
      <c r="K64" s="39">
        <f>IF(J64="","",IFERROR(INDEX(EXPENSES!$A$5:$A$126,MATCH(J64,EXPENSES!$L$5:$L$126,0)),""))</f>
        <v/>
      </c>
    </row>
    <row r="65">
      <c r="A65" s="12" t="n"/>
      <c r="B65" s="68" t="n"/>
      <c r="C65" s="68" t="n"/>
      <c r="D65" s="26" t="n"/>
      <c r="E65" s="68" t="n"/>
      <c r="F65" s="68" t="n"/>
      <c r="G65" s="68" t="n"/>
      <c r="H65" s="68" t="n"/>
      <c r="I65" s="68" t="n"/>
      <c r="J65" s="38">
        <f>IF(E65="","",LEFT(E65,6))</f>
        <v/>
      </c>
      <c r="K65" s="39">
        <f>IF(J65="","",IFERROR(INDEX(EXPENSES!$A$5:$A$126,MATCH(J65,EXPENSES!$L$5:$L$126,0)),""))</f>
        <v/>
      </c>
    </row>
    <row r="66">
      <c r="A66" s="12" t="n"/>
      <c r="B66" s="68" t="n"/>
      <c r="C66" s="68" t="n"/>
      <c r="D66" s="26" t="n"/>
      <c r="E66" s="68" t="n"/>
      <c r="F66" s="68" t="n"/>
      <c r="G66" s="68" t="n"/>
      <c r="H66" s="68" t="n"/>
      <c r="I66" s="68" t="n"/>
      <c r="J66" s="38">
        <f>IF(E66="","",LEFT(E66,6))</f>
        <v/>
      </c>
      <c r="K66" s="39">
        <f>IF(J66="","",IFERROR(INDEX(EXPENSES!$A$5:$A$126,MATCH(J66,EXPENSES!$L$5:$L$126,0)),""))</f>
        <v/>
      </c>
    </row>
    <row r="67">
      <c r="A67" s="12" t="n"/>
      <c r="B67" s="68" t="n"/>
      <c r="C67" s="68" t="n"/>
      <c r="D67" s="26" t="n"/>
      <c r="E67" s="68" t="n"/>
      <c r="F67" s="68" t="n"/>
      <c r="G67" s="68" t="n"/>
      <c r="H67" s="68" t="n"/>
      <c r="I67" s="68" t="n"/>
      <c r="J67" s="38">
        <f>IF(E67="","",LEFT(E67,6))</f>
        <v/>
      </c>
      <c r="K67" s="39">
        <f>IF(J67="","",IFERROR(INDEX(EXPENSES!$A$5:$A$126,MATCH(J67,EXPENSES!$L$5:$L$126,0)),""))</f>
        <v/>
      </c>
    </row>
    <row r="68">
      <c r="A68" s="12" t="n"/>
      <c r="B68" s="68" t="n"/>
      <c r="C68" s="68" t="n"/>
      <c r="D68" s="26" t="n"/>
      <c r="E68" s="68" t="n"/>
      <c r="F68" s="68" t="n"/>
      <c r="G68" s="68" t="n"/>
      <c r="H68" s="68" t="n"/>
      <c r="I68" s="68" t="n"/>
      <c r="J68" s="38">
        <f>IF(E68="","",LEFT(E68,6))</f>
        <v/>
      </c>
      <c r="K68" s="39">
        <f>IF(J68="","",IFERROR(INDEX(EXPENSES!$A$5:$A$126,MATCH(J68,EXPENSES!$L$5:$L$126,0)),""))</f>
        <v/>
      </c>
    </row>
    <row r="69">
      <c r="A69" s="12" t="n"/>
      <c r="B69" s="68" t="n"/>
      <c r="C69" s="68" t="n"/>
      <c r="D69" s="26" t="n"/>
      <c r="E69" s="68" t="n"/>
      <c r="F69" s="68" t="n"/>
      <c r="G69" s="68" t="n"/>
      <c r="H69" s="68" t="n"/>
      <c r="I69" s="68" t="n"/>
      <c r="J69" s="38">
        <f>IF(E69="","",LEFT(E69,6))</f>
        <v/>
      </c>
      <c r="K69" s="39">
        <f>IF(J69="","",IFERROR(INDEX(EXPENSES!$A$5:$A$126,MATCH(J69,EXPENSES!$L$5:$L$126,0)),""))</f>
        <v/>
      </c>
    </row>
    <row r="70">
      <c r="A70" s="12" t="n"/>
      <c r="B70" s="68" t="n"/>
      <c r="C70" s="68" t="n"/>
      <c r="D70" s="26" t="n"/>
      <c r="E70" s="68" t="n"/>
      <c r="F70" s="68" t="n"/>
      <c r="G70" s="68" t="n"/>
      <c r="H70" s="68" t="n"/>
      <c r="I70" s="68" t="n"/>
      <c r="J70" s="38">
        <f>IF(E70="","",LEFT(E70,6))</f>
        <v/>
      </c>
      <c r="K70" s="39">
        <f>IF(J70="","",IFERROR(INDEX(EXPENSES!$A$5:$A$126,MATCH(J70,EXPENSES!$L$5:$L$126,0)),""))</f>
        <v/>
      </c>
    </row>
    <row r="71">
      <c r="A71" s="12" t="n"/>
      <c r="B71" s="68" t="n"/>
      <c r="C71" s="68" t="n"/>
      <c r="D71" s="26" t="n"/>
      <c r="E71" s="68" t="n"/>
      <c r="F71" s="68" t="n"/>
      <c r="G71" s="68" t="n"/>
      <c r="H71" s="68" t="n"/>
      <c r="I71" s="68" t="n"/>
      <c r="J71" s="38">
        <f>IF(E71="","",LEFT(E71,6))</f>
        <v/>
      </c>
      <c r="K71" s="39">
        <f>IF(J71="","",IFERROR(INDEX(EXPENSES!$A$5:$A$126,MATCH(J71,EXPENSES!$L$5:$L$126,0)),""))</f>
        <v/>
      </c>
    </row>
    <row r="72">
      <c r="A72" s="12" t="n"/>
      <c r="B72" s="68" t="n"/>
      <c r="C72" s="68" t="n"/>
      <c r="D72" s="26" t="n"/>
      <c r="E72" s="68" t="n"/>
      <c r="F72" s="68" t="n"/>
      <c r="G72" s="68" t="n"/>
      <c r="H72" s="68" t="n"/>
      <c r="I72" s="68" t="n"/>
      <c r="J72" s="38">
        <f>IF(E72="","",LEFT(E72,6))</f>
        <v/>
      </c>
      <c r="K72" s="39">
        <f>IF(J72="","",IFERROR(INDEX(EXPENSES!$A$5:$A$126,MATCH(J72,EXPENSES!$L$5:$L$126,0)),""))</f>
        <v/>
      </c>
    </row>
    <row r="73">
      <c r="A73" s="12" t="n"/>
      <c r="B73" s="68" t="n"/>
      <c r="C73" s="68" t="n"/>
      <c r="D73" s="26" t="n"/>
      <c r="E73" s="68" t="n"/>
      <c r="F73" s="68" t="n"/>
      <c r="G73" s="68" t="n"/>
      <c r="H73" s="68" t="n"/>
      <c r="I73" s="68" t="n"/>
      <c r="J73" s="38">
        <f>IF(E73="","",LEFT(E73,6))</f>
        <v/>
      </c>
      <c r="K73" s="39">
        <f>IF(J73="","",IFERROR(INDEX(EXPENSES!$A$5:$A$126,MATCH(J73,EXPENSES!$L$5:$L$126,0)),""))</f>
        <v/>
      </c>
    </row>
    <row r="74">
      <c r="A74" s="12" t="n"/>
      <c r="B74" s="68" t="n"/>
      <c r="C74" s="68" t="n"/>
      <c r="D74" s="26" t="n"/>
      <c r="E74" s="68" t="n"/>
      <c r="F74" s="68" t="n"/>
      <c r="G74" s="68" t="n"/>
      <c r="H74" s="68" t="n"/>
      <c r="I74" s="68" t="n"/>
      <c r="J74" s="38">
        <f>IF(E74="","",LEFT(E74,6))</f>
        <v/>
      </c>
      <c r="K74" s="39">
        <f>IF(J74="","",IFERROR(INDEX(EXPENSES!$A$5:$A$126,MATCH(J74,EXPENSES!$L$5:$L$126,0)),""))</f>
        <v/>
      </c>
    </row>
    <row r="75">
      <c r="A75" s="12" t="n"/>
      <c r="B75" s="68" t="n"/>
      <c r="C75" s="68" t="n"/>
      <c r="D75" s="26" t="n"/>
      <c r="E75" s="68" t="n"/>
      <c r="F75" s="68" t="n"/>
      <c r="G75" s="68" t="n"/>
      <c r="H75" s="68" t="n"/>
      <c r="I75" s="68" t="n"/>
      <c r="J75" s="38">
        <f>IF(E75="","",LEFT(E75,6))</f>
        <v/>
      </c>
      <c r="K75" s="39">
        <f>IF(J75="","",IFERROR(INDEX(EXPENSES!$A$5:$A$126,MATCH(J75,EXPENSES!$L$5:$L$126,0)),""))</f>
        <v/>
      </c>
    </row>
    <row r="76">
      <c r="A76" s="12" t="n"/>
      <c r="B76" s="68" t="n"/>
      <c r="C76" s="68" t="n"/>
      <c r="D76" s="26" t="n"/>
      <c r="E76" s="68" t="n"/>
      <c r="F76" s="68" t="n"/>
      <c r="G76" s="68" t="n"/>
      <c r="H76" s="68" t="n"/>
      <c r="I76" s="68" t="n"/>
      <c r="J76" s="38">
        <f>IF(E76="","",LEFT(E76,6))</f>
        <v/>
      </c>
      <c r="K76" s="39">
        <f>IF(J76="","",IFERROR(INDEX(EXPENSES!$A$5:$A$126,MATCH(J76,EXPENSES!$L$5:$L$126,0)),""))</f>
        <v/>
      </c>
    </row>
    <row r="77">
      <c r="A77" s="12" t="n"/>
      <c r="B77" s="68" t="n"/>
      <c r="C77" s="68" t="n"/>
      <c r="D77" s="26" t="n"/>
      <c r="E77" s="68" t="n"/>
      <c r="F77" s="68" t="n"/>
      <c r="G77" s="68" t="n"/>
      <c r="H77" s="68" t="n"/>
      <c r="I77" s="68" t="n"/>
      <c r="J77" s="38">
        <f>IF(E77="","",LEFT(E77,6))</f>
        <v/>
      </c>
      <c r="K77" s="39">
        <f>IF(J77="","",IFERROR(INDEX(EXPENSES!$A$5:$A$126,MATCH(J77,EXPENSES!$L$5:$L$126,0)),""))</f>
        <v/>
      </c>
    </row>
    <row r="78">
      <c r="A78" s="12" t="n"/>
      <c r="B78" s="68" t="n"/>
      <c r="C78" s="68" t="n"/>
      <c r="D78" s="26" t="n"/>
      <c r="E78" s="68" t="n"/>
      <c r="F78" s="68" t="n"/>
      <c r="G78" s="68" t="n"/>
      <c r="H78" s="68" t="n"/>
      <c r="I78" s="68" t="n"/>
      <c r="J78" s="38">
        <f>IF(E78="","",LEFT(E78,6))</f>
        <v/>
      </c>
      <c r="K78" s="39">
        <f>IF(J78="","",IFERROR(INDEX(EXPENSES!$A$5:$A$126,MATCH(J78,EXPENSES!$L$5:$L$126,0)),""))</f>
        <v/>
      </c>
    </row>
    <row r="79">
      <c r="A79" s="12" t="n"/>
      <c r="B79" s="68" t="n"/>
      <c r="C79" s="68" t="n"/>
      <c r="D79" s="26" t="n"/>
      <c r="E79" s="68" t="n"/>
      <c r="F79" s="68" t="n"/>
      <c r="G79" s="68" t="n"/>
      <c r="H79" s="68" t="n"/>
      <c r="I79" s="68" t="n"/>
      <c r="J79" s="38">
        <f>IF(E79="","",LEFT(E79,6))</f>
        <v/>
      </c>
      <c r="K79" s="39">
        <f>IF(J79="","",IFERROR(INDEX(EXPENSES!$A$5:$A$126,MATCH(J79,EXPENSES!$L$5:$L$126,0)),""))</f>
        <v/>
      </c>
    </row>
    <row r="80">
      <c r="A80" s="12" t="n"/>
      <c r="B80" s="68" t="n"/>
      <c r="C80" s="68" t="n"/>
      <c r="D80" s="26" t="n"/>
      <c r="E80" s="68" t="n"/>
      <c r="F80" s="68" t="n"/>
      <c r="G80" s="68" t="n"/>
      <c r="H80" s="68" t="n"/>
      <c r="I80" s="68" t="n"/>
      <c r="J80" s="38">
        <f>IF(E80="","",LEFT(E80,6))</f>
        <v/>
      </c>
      <c r="K80" s="39">
        <f>IF(J80="","",IFERROR(INDEX(EXPENSES!$A$5:$A$126,MATCH(J80,EXPENSES!$L$5:$L$126,0)),""))</f>
        <v/>
      </c>
    </row>
    <row r="81">
      <c r="A81" s="12" t="n"/>
      <c r="B81" s="68" t="n"/>
      <c r="C81" s="68" t="n"/>
      <c r="D81" s="26" t="n"/>
      <c r="E81" s="68" t="n"/>
      <c r="F81" s="68" t="n"/>
      <c r="G81" s="68" t="n"/>
      <c r="H81" s="68" t="n"/>
      <c r="I81" s="68" t="n"/>
      <c r="J81" s="38">
        <f>IF(E81="","",LEFT(E81,6))</f>
        <v/>
      </c>
      <c r="K81" s="39">
        <f>IF(J81="","",IFERROR(INDEX(EXPENSES!$A$5:$A$126,MATCH(J81,EXPENSES!$L$5:$L$126,0)),""))</f>
        <v/>
      </c>
    </row>
    <row r="82">
      <c r="A82" s="12" t="n"/>
      <c r="B82" s="68" t="n"/>
      <c r="C82" s="68" t="n"/>
      <c r="D82" s="26" t="n"/>
      <c r="E82" s="68" t="n"/>
      <c r="F82" s="68" t="n"/>
      <c r="G82" s="68" t="n"/>
      <c r="H82" s="68" t="n"/>
      <c r="I82" s="68" t="n"/>
      <c r="J82" s="38">
        <f>IF(E82="","",LEFT(E82,6))</f>
        <v/>
      </c>
      <c r="K82" s="39">
        <f>IF(J82="","",IFERROR(INDEX(EXPENSES!$A$5:$A$126,MATCH(J82,EXPENSES!$L$5:$L$126,0)),""))</f>
        <v/>
      </c>
    </row>
    <row r="83">
      <c r="A83" s="12" t="n"/>
      <c r="B83" s="68" t="n"/>
      <c r="C83" s="68" t="n"/>
      <c r="D83" s="26" t="n"/>
      <c r="E83" s="68" t="n"/>
      <c r="F83" s="68" t="n"/>
      <c r="G83" s="68" t="n"/>
      <c r="H83" s="68" t="n"/>
      <c r="I83" s="68" t="n"/>
      <c r="J83" s="38">
        <f>IF(E83="","",LEFT(E83,6))</f>
        <v/>
      </c>
      <c r="K83" s="39">
        <f>IF(J83="","",IFERROR(INDEX(EXPENSES!$A$5:$A$126,MATCH(J83,EXPENSES!$L$5:$L$126,0)),""))</f>
        <v/>
      </c>
    </row>
    <row r="84">
      <c r="A84" s="12" t="n"/>
      <c r="B84" s="68" t="n"/>
      <c r="C84" s="68" t="n"/>
      <c r="D84" s="26" t="n"/>
      <c r="E84" s="68" t="n"/>
      <c r="F84" s="68" t="n"/>
      <c r="G84" s="68" t="n"/>
      <c r="H84" s="68" t="n"/>
      <c r="I84" s="68" t="n"/>
      <c r="J84" s="38">
        <f>IF(E84="","",LEFT(E84,6))</f>
        <v/>
      </c>
      <c r="K84" s="39">
        <f>IF(J84="","",IFERROR(INDEX(EXPENSES!$A$5:$A$126,MATCH(J84,EXPENSES!$L$5:$L$126,0)),""))</f>
        <v/>
      </c>
    </row>
    <row r="85">
      <c r="A85" s="12" t="n"/>
      <c r="B85" s="68" t="n"/>
      <c r="C85" s="68" t="n"/>
      <c r="D85" s="26" t="n"/>
      <c r="E85" s="68" t="n"/>
      <c r="F85" s="68" t="n"/>
      <c r="G85" s="68" t="n"/>
      <c r="H85" s="68" t="n"/>
      <c r="I85" s="68" t="n"/>
      <c r="J85" s="38">
        <f>IF(E85="","",LEFT(E85,6))</f>
        <v/>
      </c>
      <c r="K85" s="39">
        <f>IF(J85="","",IFERROR(INDEX(EXPENSES!$A$5:$A$126,MATCH(J85,EXPENSES!$L$5:$L$126,0)),""))</f>
        <v/>
      </c>
    </row>
    <row r="86">
      <c r="A86" s="12" t="n"/>
      <c r="B86" s="68" t="n"/>
      <c r="C86" s="68" t="n"/>
      <c r="D86" s="26" t="n"/>
      <c r="E86" s="68" t="n"/>
      <c r="F86" s="68" t="n"/>
      <c r="G86" s="68" t="n"/>
      <c r="H86" s="68" t="n"/>
      <c r="I86" s="68" t="n"/>
      <c r="J86" s="38">
        <f>IF(E86="","",LEFT(E86,6))</f>
        <v/>
      </c>
      <c r="K86" s="39">
        <f>IF(J86="","",IFERROR(INDEX(EXPENSES!$A$5:$A$126,MATCH(J86,EXPENSES!$L$5:$L$126,0)),""))</f>
        <v/>
      </c>
    </row>
    <row r="87">
      <c r="A87" s="12" t="n"/>
      <c r="B87" s="68" t="n"/>
      <c r="C87" s="68" t="n"/>
      <c r="D87" s="26" t="n"/>
      <c r="E87" s="68" t="n"/>
      <c r="F87" s="68" t="n"/>
      <c r="G87" s="68" t="n"/>
      <c r="H87" s="68" t="n"/>
      <c r="I87" s="68" t="n"/>
      <c r="J87" s="38">
        <f>IF(E87="","",LEFT(E87,6))</f>
        <v/>
      </c>
      <c r="K87" s="39">
        <f>IF(J87="","",IFERROR(INDEX(EXPENSES!$A$5:$A$126,MATCH(J87,EXPENSES!$L$5:$L$126,0)),""))</f>
        <v/>
      </c>
    </row>
    <row r="88">
      <c r="A88" s="12" t="n"/>
      <c r="B88" s="68" t="n"/>
      <c r="C88" s="68" t="n"/>
      <c r="D88" s="26" t="n"/>
      <c r="E88" s="68" t="n"/>
      <c r="F88" s="68" t="n"/>
      <c r="G88" s="68" t="n"/>
      <c r="H88" s="68" t="n"/>
      <c r="I88" s="68" t="n"/>
      <c r="J88" s="38">
        <f>IF(E88="","",LEFT(E88,6))</f>
        <v/>
      </c>
      <c r="K88" s="39">
        <f>IF(J88="","",IFERROR(INDEX(EXPENSES!$A$5:$A$126,MATCH(J88,EXPENSES!$L$5:$L$126,0)),""))</f>
        <v/>
      </c>
    </row>
    <row r="89">
      <c r="A89" s="12" t="n"/>
      <c r="B89" s="68" t="n"/>
      <c r="C89" s="68" t="n"/>
      <c r="D89" s="26" t="n"/>
      <c r="E89" s="68" t="n"/>
      <c r="F89" s="68" t="n"/>
      <c r="G89" s="68" t="n"/>
      <c r="H89" s="68" t="n"/>
      <c r="I89" s="68" t="n"/>
      <c r="J89" s="38">
        <f>IF(E89="","",LEFT(E89,6))</f>
        <v/>
      </c>
      <c r="K89" s="39">
        <f>IF(J89="","",IFERROR(INDEX(EXPENSES!$A$5:$A$126,MATCH(J89,EXPENSES!$L$5:$L$126,0)),""))</f>
        <v/>
      </c>
    </row>
    <row r="90">
      <c r="A90" s="12" t="n"/>
      <c r="B90" s="68" t="n"/>
      <c r="C90" s="68" t="n"/>
      <c r="D90" s="26" t="n"/>
      <c r="E90" s="68" t="n"/>
      <c r="F90" s="68" t="n"/>
      <c r="G90" s="68" t="n"/>
      <c r="H90" s="68" t="n"/>
      <c r="I90" s="68" t="n"/>
      <c r="J90" s="38">
        <f>IF(E90="","",LEFT(E90,6))</f>
        <v/>
      </c>
      <c r="K90" s="39">
        <f>IF(J90="","",IFERROR(INDEX(EXPENSES!$A$5:$A$126,MATCH(J90,EXPENSES!$L$5:$L$126,0)),""))</f>
        <v/>
      </c>
    </row>
    <row r="91">
      <c r="A91" s="12" t="n"/>
      <c r="B91" s="68" t="n"/>
      <c r="C91" s="68" t="n"/>
      <c r="D91" s="26" t="n"/>
      <c r="E91" s="68" t="n"/>
      <c r="F91" s="68" t="n"/>
      <c r="G91" s="68" t="n"/>
      <c r="H91" s="68" t="n"/>
      <c r="I91" s="68" t="n"/>
      <c r="J91" s="38">
        <f>IF(E91="","",LEFT(E91,6))</f>
        <v/>
      </c>
      <c r="K91" s="39">
        <f>IF(J91="","",IFERROR(INDEX(EXPENSES!$A$5:$A$126,MATCH(J91,EXPENSES!$L$5:$L$126,0)),""))</f>
        <v/>
      </c>
    </row>
    <row r="92">
      <c r="A92" s="12" t="n"/>
      <c r="B92" s="68" t="n"/>
      <c r="C92" s="68" t="n"/>
      <c r="D92" s="26" t="n"/>
      <c r="E92" s="68" t="n"/>
      <c r="F92" s="68" t="n"/>
      <c r="G92" s="68" t="n"/>
      <c r="H92" s="68" t="n"/>
      <c r="I92" s="68" t="n"/>
      <c r="J92" s="38">
        <f>IF(E92="","",LEFT(E92,6))</f>
        <v/>
      </c>
      <c r="K92" s="39">
        <f>IF(J92="","",IFERROR(INDEX(EXPENSES!$A$5:$A$126,MATCH(J92,EXPENSES!$L$5:$L$126,0)),""))</f>
        <v/>
      </c>
    </row>
    <row r="93">
      <c r="A93" s="12" t="n"/>
      <c r="B93" s="68" t="n"/>
      <c r="C93" s="68" t="n"/>
      <c r="D93" s="26" t="n"/>
      <c r="E93" s="68" t="n"/>
      <c r="F93" s="68" t="n"/>
      <c r="G93" s="68" t="n"/>
      <c r="H93" s="68" t="n"/>
      <c r="I93" s="68" t="n"/>
      <c r="J93" s="38">
        <f>IF(E93="","",LEFT(E93,6))</f>
        <v/>
      </c>
      <c r="K93" s="39">
        <f>IF(J93="","",IFERROR(INDEX(EXPENSES!$A$5:$A$126,MATCH(J93,EXPENSES!$L$5:$L$126,0)),""))</f>
        <v/>
      </c>
    </row>
    <row r="94">
      <c r="A94" s="12" t="n"/>
      <c r="B94" s="68" t="n"/>
      <c r="C94" s="68" t="n"/>
      <c r="D94" s="26" t="n"/>
      <c r="E94" s="68" t="n"/>
      <c r="F94" s="68" t="n"/>
      <c r="G94" s="68" t="n"/>
      <c r="H94" s="68" t="n"/>
      <c r="I94" s="68" t="n"/>
      <c r="J94" s="38">
        <f>IF(E94="","",LEFT(E94,6))</f>
        <v/>
      </c>
      <c r="K94" s="39">
        <f>IF(J94="","",IFERROR(INDEX(EXPENSES!$A$5:$A$126,MATCH(J94,EXPENSES!$L$5:$L$126,0)),""))</f>
        <v/>
      </c>
    </row>
    <row r="95">
      <c r="A95" s="12" t="n"/>
      <c r="B95" s="68" t="n"/>
      <c r="C95" s="68" t="n"/>
      <c r="D95" s="26" t="n"/>
      <c r="E95" s="68" t="n"/>
      <c r="F95" s="68" t="n"/>
      <c r="G95" s="68" t="n"/>
      <c r="H95" s="68" t="n"/>
      <c r="I95" s="68" t="n"/>
      <c r="J95" s="38">
        <f>IF(E95="","",LEFT(E95,6))</f>
        <v/>
      </c>
      <c r="K95" s="39">
        <f>IF(J95="","",IFERROR(INDEX(EXPENSES!$A$5:$A$126,MATCH(J95,EXPENSES!$L$5:$L$126,0)),""))</f>
        <v/>
      </c>
    </row>
    <row r="96">
      <c r="A96" s="12" t="n"/>
      <c r="B96" s="68" t="n"/>
      <c r="C96" s="68" t="n"/>
      <c r="D96" s="26" t="n"/>
      <c r="E96" s="68" t="n"/>
      <c r="F96" s="68" t="n"/>
      <c r="G96" s="68" t="n"/>
      <c r="H96" s="68" t="n"/>
      <c r="I96" s="68" t="n"/>
      <c r="J96" s="38">
        <f>IF(E96="","",LEFT(E96,6))</f>
        <v/>
      </c>
      <c r="K96" s="39">
        <f>IF(J96="","",IFERROR(INDEX(EXPENSES!$A$5:$A$126,MATCH(J96,EXPENSES!$L$5:$L$126,0)),""))</f>
        <v/>
      </c>
    </row>
    <row r="97">
      <c r="A97" s="12" t="n"/>
      <c r="B97" s="68" t="n"/>
      <c r="C97" s="68" t="n"/>
      <c r="D97" s="26" t="n"/>
      <c r="E97" s="68" t="n"/>
      <c r="F97" s="68" t="n"/>
      <c r="G97" s="68" t="n"/>
      <c r="H97" s="68" t="n"/>
      <c r="I97" s="68" t="n"/>
      <c r="J97" s="38">
        <f>IF(E97="","",LEFT(E97,6))</f>
        <v/>
      </c>
      <c r="K97" s="39">
        <f>IF(J97="","",IFERROR(INDEX(EXPENSES!$A$5:$A$126,MATCH(J97,EXPENSES!$L$5:$L$126,0)),""))</f>
        <v/>
      </c>
    </row>
    <row r="98">
      <c r="A98" s="12" t="n"/>
      <c r="B98" s="68" t="n"/>
      <c r="C98" s="68" t="n"/>
      <c r="D98" s="26" t="n"/>
      <c r="E98" s="68" t="n"/>
      <c r="F98" s="68" t="n"/>
      <c r="G98" s="68" t="n"/>
      <c r="H98" s="68" t="n"/>
      <c r="I98" s="68" t="n"/>
      <c r="J98" s="38">
        <f>IF(E98="","",LEFT(E98,6))</f>
        <v/>
      </c>
      <c r="K98" s="39">
        <f>IF(J98="","",IFERROR(INDEX(EXPENSES!$A$5:$A$126,MATCH(J98,EXPENSES!$L$5:$L$126,0)),""))</f>
        <v/>
      </c>
    </row>
    <row r="99">
      <c r="A99" s="12" t="n"/>
      <c r="B99" s="68" t="n"/>
      <c r="C99" s="68" t="n"/>
      <c r="D99" s="26" t="n"/>
      <c r="E99" s="68" t="n"/>
      <c r="F99" s="68" t="n"/>
      <c r="G99" s="68" t="n"/>
      <c r="H99" s="68" t="n"/>
      <c r="I99" s="68" t="n"/>
      <c r="J99" s="38">
        <f>IF(E99="","",LEFT(E99,6))</f>
        <v/>
      </c>
      <c r="K99" s="39">
        <f>IF(J99="","",IFERROR(INDEX(EXPENSES!$A$5:$A$126,MATCH(J99,EXPENSES!$L$5:$L$126,0)),""))</f>
        <v/>
      </c>
    </row>
    <row r="100">
      <c r="A100" s="12" t="n"/>
      <c r="B100" s="68" t="n"/>
      <c r="C100" s="68" t="n"/>
      <c r="D100" s="26" t="n"/>
      <c r="E100" s="68" t="n"/>
      <c r="F100" s="68" t="n"/>
      <c r="G100" s="68" t="n"/>
      <c r="H100" s="68" t="n"/>
      <c r="I100" s="68" t="n"/>
      <c r="J100" s="38">
        <f>IF(E100="","",LEFT(E100,6))</f>
        <v/>
      </c>
      <c r="K100" s="39">
        <f>IF(J100="","",IFERROR(INDEX(EXPENSES!$A$5:$A$126,MATCH(J100,EXPENSES!$L$5:$L$126,0)),""))</f>
        <v/>
      </c>
    </row>
    <row r="101">
      <c r="A101" s="12" t="n"/>
      <c r="B101" s="68" t="n"/>
      <c r="C101" s="68" t="n"/>
      <c r="D101" s="26" t="n"/>
      <c r="E101" s="68" t="n"/>
      <c r="F101" s="68" t="n"/>
      <c r="G101" s="68" t="n"/>
      <c r="H101" s="68" t="n"/>
      <c r="I101" s="68" t="n"/>
      <c r="J101" s="38">
        <f>IF(E101="","",LEFT(E101,6))</f>
        <v/>
      </c>
      <c r="K101" s="39">
        <f>IF(J101="","",IFERROR(INDEX(EXPENSES!$A$5:$A$126,MATCH(J101,EXPENSES!$L$5:$L$126,0)),""))</f>
        <v/>
      </c>
    </row>
    <row r="102">
      <c r="A102" s="12" t="n"/>
      <c r="B102" s="68" t="n"/>
      <c r="C102" s="68" t="n"/>
      <c r="D102" s="26" t="n"/>
      <c r="E102" s="68" t="n"/>
      <c r="F102" s="68" t="n"/>
      <c r="G102" s="68" t="n"/>
      <c r="H102" s="68" t="n"/>
      <c r="I102" s="68" t="n"/>
      <c r="J102" s="38">
        <f>IF(E102="","",LEFT(E102,6))</f>
        <v/>
      </c>
      <c r="K102" s="39">
        <f>IF(J102="","",IFERROR(INDEX(EXPENSES!$A$5:$A$126,MATCH(J102,EXPENSES!$L$5:$L$126,0)),""))</f>
        <v/>
      </c>
    </row>
    <row r="103">
      <c r="A103" s="12" t="n"/>
      <c r="B103" s="68" t="n"/>
      <c r="C103" s="68" t="n"/>
      <c r="D103" s="26" t="n"/>
      <c r="E103" s="68" t="n"/>
      <c r="F103" s="68" t="n"/>
      <c r="G103" s="68" t="n"/>
      <c r="H103" s="68" t="n"/>
      <c r="I103" s="68" t="n"/>
      <c r="J103" s="38">
        <f>IF(E103="","",LEFT(E103,6))</f>
        <v/>
      </c>
      <c r="K103" s="39">
        <f>IF(J103="","",IFERROR(INDEX(EXPENSES!$A$5:$A$126,MATCH(J103,EXPENSES!$L$5:$L$126,0)),""))</f>
        <v/>
      </c>
    </row>
    <row r="104">
      <c r="A104" s="12" t="n"/>
      <c r="B104" s="68" t="n"/>
      <c r="C104" s="68" t="n"/>
      <c r="D104" s="26" t="n"/>
      <c r="E104" s="68" t="n"/>
      <c r="F104" s="68" t="n"/>
      <c r="G104" s="68" t="n"/>
      <c r="H104" s="68" t="n"/>
      <c r="I104" s="68" t="n"/>
      <c r="J104" s="38">
        <f>IF(E104="","",LEFT(E104,6))</f>
        <v/>
      </c>
      <c r="K104" s="39">
        <f>IF(J104="","",IFERROR(INDEX(EXPENSES!$A$5:$A$126,MATCH(J104,EXPENSES!$L$5:$L$126,0)),""))</f>
        <v/>
      </c>
    </row>
    <row r="105">
      <c r="A105" s="12" t="n"/>
      <c r="B105" s="68" t="n"/>
      <c r="C105" s="68" t="n"/>
      <c r="D105" s="26" t="n"/>
      <c r="E105" s="68" t="n"/>
      <c r="F105" s="68" t="n"/>
      <c r="G105" s="68" t="n"/>
      <c r="H105" s="68" t="n"/>
      <c r="I105" s="68" t="n"/>
      <c r="J105" s="38">
        <f>IF(E105="","",LEFT(E105,6))</f>
        <v/>
      </c>
      <c r="K105" s="39">
        <f>IF(J105="","",IFERROR(INDEX(EXPENSES!$A$5:$A$126,MATCH(J105,EXPENSES!$L$5:$L$126,0)),""))</f>
        <v/>
      </c>
    </row>
    <row r="106">
      <c r="A106" s="12" t="n"/>
      <c r="B106" s="68" t="n"/>
      <c r="C106" s="68" t="n"/>
      <c r="D106" s="26" t="n"/>
      <c r="E106" s="68" t="n"/>
      <c r="F106" s="68" t="n"/>
      <c r="G106" s="68" t="n"/>
      <c r="H106" s="68" t="n"/>
      <c r="I106" s="68" t="n"/>
      <c r="J106" s="38">
        <f>IF(E106="","",LEFT(E106,6))</f>
        <v/>
      </c>
      <c r="K106" s="39">
        <f>IF(J106="","",IFERROR(INDEX(EXPENSES!$A$5:$A$126,MATCH(J106,EXPENSES!$L$5:$L$126,0)),""))</f>
        <v/>
      </c>
    </row>
    <row r="107">
      <c r="A107" s="12" t="n"/>
      <c r="B107" s="68" t="n"/>
      <c r="C107" s="68" t="n"/>
      <c r="D107" s="26" t="n"/>
      <c r="E107" s="68" t="n"/>
      <c r="F107" s="68" t="n"/>
      <c r="G107" s="68" t="n"/>
      <c r="H107" s="68" t="n"/>
      <c r="I107" s="68" t="n"/>
      <c r="J107" s="38">
        <f>IF(E107="","",LEFT(E107,6))</f>
        <v/>
      </c>
      <c r="K107" s="39">
        <f>IF(J107="","",IFERROR(INDEX(EXPENSES!$A$5:$A$126,MATCH(J107,EXPENSES!$L$5:$L$126,0)),""))</f>
        <v/>
      </c>
    </row>
    <row r="108">
      <c r="A108" s="12" t="n"/>
      <c r="B108" s="68" t="n"/>
      <c r="C108" s="68" t="n"/>
      <c r="D108" s="26" t="n"/>
      <c r="E108" s="68" t="n"/>
      <c r="F108" s="68" t="n"/>
      <c r="G108" s="68" t="n"/>
      <c r="H108" s="68" t="n"/>
      <c r="I108" s="68" t="n"/>
      <c r="J108" s="38">
        <f>IF(E108="","",LEFT(E108,6))</f>
        <v/>
      </c>
      <c r="K108" s="39">
        <f>IF(J108="","",IFERROR(INDEX(EXPENSES!$A$5:$A$126,MATCH(J108,EXPENSES!$L$5:$L$126,0)),""))</f>
        <v/>
      </c>
    </row>
    <row r="109">
      <c r="A109" s="12" t="n"/>
      <c r="B109" s="68" t="n"/>
      <c r="C109" s="68" t="n"/>
      <c r="D109" s="26" t="n"/>
      <c r="E109" s="68" t="n"/>
      <c r="F109" s="68" t="n"/>
      <c r="G109" s="68" t="n"/>
      <c r="H109" s="68" t="n"/>
      <c r="I109" s="68" t="n"/>
      <c r="J109" s="38">
        <f>IF(E109="","",LEFT(E109,6))</f>
        <v/>
      </c>
      <c r="K109" s="39">
        <f>IF(J109="","",IFERROR(INDEX(EXPENSES!$A$5:$A$126,MATCH(J109,EXPENSES!$L$5:$L$126,0)),""))</f>
        <v/>
      </c>
    </row>
    <row r="110">
      <c r="A110" s="12" t="n"/>
      <c r="B110" s="68" t="n"/>
      <c r="C110" s="68" t="n"/>
      <c r="D110" s="26" t="n"/>
      <c r="E110" s="68" t="n"/>
      <c r="F110" s="68" t="n"/>
      <c r="G110" s="68" t="n"/>
      <c r="H110" s="68" t="n"/>
      <c r="I110" s="68" t="n"/>
      <c r="J110" s="38">
        <f>IF(E110="","",LEFT(E110,6))</f>
        <v/>
      </c>
      <c r="K110" s="39">
        <f>IF(J110="","",IFERROR(INDEX(EXPENSES!$A$5:$A$126,MATCH(J110,EXPENSES!$L$5:$L$126,0)),""))</f>
        <v/>
      </c>
    </row>
    <row r="111">
      <c r="A111" s="12" t="n"/>
      <c r="B111" s="68" t="n"/>
      <c r="C111" s="68" t="n"/>
      <c r="D111" s="26" t="n"/>
      <c r="E111" s="68" t="n"/>
      <c r="F111" s="68" t="n"/>
      <c r="G111" s="68" t="n"/>
      <c r="H111" s="68" t="n"/>
      <c r="I111" s="68" t="n"/>
      <c r="J111" s="38">
        <f>IF(E111="","",LEFT(E111,6))</f>
        <v/>
      </c>
      <c r="K111" s="39">
        <f>IF(J111="","",IFERROR(INDEX(EXPENSES!$A$5:$A$126,MATCH(J111,EXPENSES!$L$5:$L$126,0)),""))</f>
        <v/>
      </c>
    </row>
    <row r="112">
      <c r="A112" s="12" t="n"/>
      <c r="B112" s="68" t="n"/>
      <c r="C112" s="68" t="n"/>
      <c r="D112" s="26" t="n"/>
      <c r="E112" s="68" t="n"/>
      <c r="F112" s="68" t="n"/>
      <c r="G112" s="68" t="n"/>
      <c r="H112" s="68" t="n"/>
      <c r="I112" s="68" t="n"/>
      <c r="J112" s="38">
        <f>IF(E112="","",LEFT(E112,6))</f>
        <v/>
      </c>
      <c r="K112" s="39">
        <f>IF(J112="","",IFERROR(INDEX(EXPENSES!$A$5:$A$126,MATCH(J112,EXPENSES!$L$5:$L$126,0)),""))</f>
        <v/>
      </c>
    </row>
    <row r="113">
      <c r="A113" s="12" t="n"/>
      <c r="B113" s="68" t="n"/>
      <c r="C113" s="68" t="n"/>
      <c r="D113" s="26" t="n"/>
      <c r="E113" s="68" t="n"/>
      <c r="F113" s="68" t="n"/>
      <c r="G113" s="68" t="n"/>
      <c r="H113" s="68" t="n"/>
      <c r="I113" s="68" t="n"/>
      <c r="J113" s="38">
        <f>IF(E113="","",LEFT(E113,6))</f>
        <v/>
      </c>
      <c r="K113" s="39">
        <f>IF(J113="","",IFERROR(INDEX(EXPENSES!$A$5:$A$126,MATCH(J113,EXPENSES!$L$5:$L$126,0)),""))</f>
        <v/>
      </c>
    </row>
    <row r="114">
      <c r="A114" s="12" t="n"/>
      <c r="B114" s="68" t="n"/>
      <c r="C114" s="68" t="n"/>
      <c r="D114" s="26" t="n"/>
      <c r="E114" s="68" t="n"/>
      <c r="F114" s="68" t="n"/>
      <c r="G114" s="68" t="n"/>
      <c r="H114" s="68" t="n"/>
      <c r="I114" s="68" t="n"/>
      <c r="J114" s="38">
        <f>IF(E114="","",LEFT(E114,6))</f>
        <v/>
      </c>
      <c r="K114" s="39">
        <f>IF(J114="","",IFERROR(INDEX(EXPENSES!$A$5:$A$126,MATCH(J114,EXPENSES!$L$5:$L$126,0)),""))</f>
        <v/>
      </c>
    </row>
    <row r="115">
      <c r="A115" s="12" t="n"/>
      <c r="B115" s="68" t="n"/>
      <c r="C115" s="68" t="n"/>
      <c r="D115" s="26" t="n"/>
      <c r="E115" s="68" t="n"/>
      <c r="F115" s="68" t="n"/>
      <c r="G115" s="68" t="n"/>
      <c r="H115" s="68" t="n"/>
      <c r="I115" s="68" t="n"/>
      <c r="J115" s="38">
        <f>IF(E115="","",LEFT(E115,6))</f>
        <v/>
      </c>
      <c r="K115" s="39">
        <f>IF(J115="","",IFERROR(INDEX(EXPENSES!$A$5:$A$126,MATCH(J115,EXPENSES!$L$5:$L$126,0)),""))</f>
        <v/>
      </c>
    </row>
    <row r="116">
      <c r="A116" s="12" t="n"/>
      <c r="B116" s="68" t="n"/>
      <c r="C116" s="68" t="n"/>
      <c r="D116" s="26" t="n"/>
      <c r="E116" s="68" t="n"/>
      <c r="F116" s="68" t="n"/>
      <c r="G116" s="68" t="n"/>
      <c r="H116" s="68" t="n"/>
      <c r="I116" s="68" t="n"/>
      <c r="J116" s="38">
        <f>IF(E116="","",LEFT(E116,6))</f>
        <v/>
      </c>
      <c r="K116" s="39">
        <f>IF(J116="","",IFERROR(INDEX(EXPENSES!$A$5:$A$126,MATCH(J116,EXPENSES!$L$5:$L$126,0)),""))</f>
        <v/>
      </c>
    </row>
    <row r="117">
      <c r="A117" s="12" t="n"/>
      <c r="B117" s="68" t="n"/>
      <c r="C117" s="68" t="n"/>
      <c r="D117" s="26" t="n"/>
      <c r="E117" s="68" t="n"/>
      <c r="F117" s="68" t="n"/>
      <c r="G117" s="68" t="n"/>
      <c r="H117" s="68" t="n"/>
      <c r="I117" s="68" t="n"/>
      <c r="J117" s="38">
        <f>IF(E117="","",LEFT(E117,6))</f>
        <v/>
      </c>
      <c r="K117" s="39">
        <f>IF(J117="","",IFERROR(INDEX(EXPENSES!$A$5:$A$126,MATCH(J117,EXPENSES!$L$5:$L$126,0)),""))</f>
        <v/>
      </c>
    </row>
    <row r="118">
      <c r="A118" s="12" t="n"/>
      <c r="B118" s="68" t="n"/>
      <c r="C118" s="68" t="n"/>
      <c r="D118" s="26" t="n"/>
      <c r="E118" s="68" t="n"/>
      <c r="F118" s="68" t="n"/>
      <c r="G118" s="68" t="n"/>
      <c r="H118" s="68" t="n"/>
      <c r="I118" s="68" t="n"/>
      <c r="J118" s="38">
        <f>IF(E118="","",LEFT(E118,6))</f>
        <v/>
      </c>
      <c r="K118" s="39">
        <f>IF(J118="","",IFERROR(INDEX(EXPENSES!$A$5:$A$126,MATCH(J118,EXPENSES!$L$5:$L$126,0)),""))</f>
        <v/>
      </c>
    </row>
    <row r="119">
      <c r="A119" s="12" t="n"/>
      <c r="B119" s="68" t="n"/>
      <c r="C119" s="68" t="n"/>
      <c r="D119" s="26" t="n"/>
      <c r="E119" s="68" t="n"/>
      <c r="F119" s="68" t="n"/>
      <c r="G119" s="68" t="n"/>
      <c r="H119" s="68" t="n"/>
      <c r="I119" s="68" t="n"/>
      <c r="J119" s="38">
        <f>IF(E119="","",LEFT(E119,6))</f>
        <v/>
      </c>
      <c r="K119" s="39">
        <f>IF(J119="","",IFERROR(INDEX(EXPENSES!$A$5:$A$126,MATCH(J119,EXPENSES!$L$5:$L$126,0)),""))</f>
        <v/>
      </c>
    </row>
    <row r="120">
      <c r="A120" s="12" t="n"/>
      <c r="B120" s="68" t="n"/>
      <c r="C120" s="68" t="n"/>
      <c r="D120" s="26" t="n"/>
      <c r="E120" s="68" t="n"/>
      <c r="F120" s="68" t="n"/>
      <c r="G120" s="68" t="n"/>
      <c r="H120" s="68" t="n"/>
      <c r="I120" s="68" t="n"/>
      <c r="J120" s="38">
        <f>IF(E120="","",LEFT(E120,6))</f>
        <v/>
      </c>
      <c r="K120" s="39">
        <f>IF(J120="","",IFERROR(INDEX(EXPENSES!$A$5:$A$126,MATCH(J120,EXPENSES!$L$5:$L$126,0)),""))</f>
        <v/>
      </c>
    </row>
    <row r="121">
      <c r="A121" s="12" t="n"/>
      <c r="B121" s="68" t="n"/>
      <c r="C121" s="68" t="n"/>
      <c r="D121" s="26" t="n"/>
      <c r="E121" s="68" t="n"/>
      <c r="F121" s="68" t="n"/>
      <c r="G121" s="68" t="n"/>
      <c r="H121" s="68" t="n"/>
      <c r="I121" s="68" t="n"/>
      <c r="J121" s="38">
        <f>IF(E121="","",LEFT(E121,6))</f>
        <v/>
      </c>
      <c r="K121" s="39">
        <f>IF(J121="","",IFERROR(INDEX(EXPENSES!$A$5:$A$126,MATCH(J121,EXPENSES!$L$5:$L$126,0)),""))</f>
        <v/>
      </c>
    </row>
    <row r="122">
      <c r="A122" s="12" t="n"/>
      <c r="B122" s="68" t="n"/>
      <c r="C122" s="68" t="n"/>
      <c r="D122" s="26" t="n"/>
      <c r="E122" s="68" t="n"/>
      <c r="F122" s="68" t="n"/>
      <c r="G122" s="68" t="n"/>
      <c r="H122" s="68" t="n"/>
      <c r="I122" s="68" t="n"/>
      <c r="J122" s="38">
        <f>IF(E122="","",LEFT(E122,6))</f>
        <v/>
      </c>
      <c r="K122" s="39">
        <f>IF(J122="","",IFERROR(INDEX(EXPENSES!$A$5:$A$126,MATCH(J122,EXPENSES!$L$5:$L$126,0)),""))</f>
        <v/>
      </c>
    </row>
    <row r="123">
      <c r="A123" s="12" t="n"/>
      <c r="B123" s="68" t="n"/>
      <c r="C123" s="68" t="n"/>
      <c r="D123" s="26" t="n"/>
      <c r="E123" s="68" t="n"/>
      <c r="F123" s="68" t="n"/>
      <c r="G123" s="68" t="n"/>
      <c r="H123" s="68" t="n"/>
      <c r="I123" s="68" t="n"/>
      <c r="J123" s="38">
        <f>IF(E123="","",LEFT(E123,6))</f>
        <v/>
      </c>
      <c r="K123" s="39">
        <f>IF(J123="","",IFERROR(INDEX(EXPENSES!$A$5:$A$126,MATCH(J123,EXPENSES!$L$5:$L$126,0)),""))</f>
        <v/>
      </c>
    </row>
    <row r="124">
      <c r="A124" s="12" t="n"/>
      <c r="B124" s="68" t="n"/>
      <c r="C124" s="68" t="n"/>
      <c r="D124" s="26" t="n"/>
      <c r="E124" s="68" t="n"/>
      <c r="F124" s="68" t="n"/>
      <c r="G124" s="68" t="n"/>
      <c r="H124" s="68" t="n"/>
      <c r="I124" s="68" t="n"/>
      <c r="J124" s="38">
        <f>IF(E124="","",LEFT(E124,6))</f>
        <v/>
      </c>
      <c r="K124" s="39">
        <f>IF(J124="","",IFERROR(INDEX(EXPENSES!$A$5:$A$126,MATCH(J124,EXPENSES!$L$5:$L$126,0)),""))</f>
        <v/>
      </c>
    </row>
    <row r="125">
      <c r="A125" s="12" t="n"/>
      <c r="B125" s="68" t="n"/>
      <c r="C125" s="68" t="n"/>
      <c r="D125" s="26" t="n"/>
      <c r="E125" s="68" t="n"/>
      <c r="F125" s="68" t="n"/>
      <c r="G125" s="68" t="n"/>
      <c r="H125" s="68" t="n"/>
      <c r="I125" s="68" t="n"/>
      <c r="J125" s="38">
        <f>IF(E125="","",LEFT(E125,6))</f>
        <v/>
      </c>
      <c r="K125" s="39">
        <f>IF(J125="","",IFERROR(INDEX(EXPENSES!$A$5:$A$126,MATCH(J125,EXPENSES!$L$5:$L$126,0)),""))</f>
        <v/>
      </c>
    </row>
    <row r="126">
      <c r="A126" s="12" t="n"/>
      <c r="B126" s="68" t="n"/>
      <c r="C126" s="68" t="n"/>
      <c r="D126" s="26" t="n"/>
      <c r="E126" s="68" t="n"/>
      <c r="F126" s="68" t="n"/>
      <c r="G126" s="68" t="n"/>
      <c r="H126" s="68" t="n"/>
      <c r="I126" s="68" t="n"/>
      <c r="J126" s="38">
        <f>IF(E126="","",LEFT(E126,6))</f>
        <v/>
      </c>
      <c r="K126" s="39">
        <f>IF(J126="","",IFERROR(INDEX(EXPENSES!$A$5:$A$126,MATCH(J126,EXPENSES!$L$5:$L$126,0)),""))</f>
        <v/>
      </c>
    </row>
    <row r="127">
      <c r="A127" s="12" t="n"/>
      <c r="B127" s="68" t="n"/>
      <c r="C127" s="68" t="n"/>
      <c r="D127" s="26" t="n"/>
      <c r="E127" s="68" t="n"/>
      <c r="F127" s="68" t="n"/>
      <c r="G127" s="68" t="n"/>
      <c r="H127" s="68" t="n"/>
      <c r="I127" s="68" t="n"/>
      <c r="J127" s="38">
        <f>IF(E127="","",LEFT(E127,6))</f>
        <v/>
      </c>
      <c r="K127" s="39">
        <f>IF(J127="","",IFERROR(INDEX(EXPENSES!$A$5:$A$126,MATCH(J127,EXPENSES!$L$5:$L$126,0)),""))</f>
        <v/>
      </c>
    </row>
    <row r="128">
      <c r="A128" s="12" t="n"/>
      <c r="B128" s="68" t="n"/>
      <c r="C128" s="68" t="n"/>
      <c r="D128" s="26" t="n"/>
      <c r="E128" s="68" t="n"/>
      <c r="F128" s="68" t="n"/>
      <c r="G128" s="68" t="n"/>
      <c r="H128" s="68" t="n"/>
      <c r="I128" s="68" t="n"/>
      <c r="J128" s="38">
        <f>IF(E128="","",LEFT(E128,6))</f>
        <v/>
      </c>
      <c r="K128" s="39">
        <f>IF(J128="","",IFERROR(INDEX(EXPENSES!$A$5:$A$126,MATCH(J128,EXPENSES!$L$5:$L$126,0)),""))</f>
        <v/>
      </c>
    </row>
    <row r="129">
      <c r="A129" s="12" t="n"/>
      <c r="B129" s="68" t="n"/>
      <c r="C129" s="68" t="n"/>
      <c r="D129" s="26" t="n"/>
      <c r="E129" s="68" t="n"/>
      <c r="F129" s="68" t="n"/>
      <c r="G129" s="68" t="n"/>
      <c r="H129" s="68" t="n"/>
      <c r="I129" s="68" t="n"/>
      <c r="J129" s="38">
        <f>IF(E129="","",LEFT(E129,6))</f>
        <v/>
      </c>
      <c r="K129" s="39">
        <f>IF(J129="","",IFERROR(INDEX(EXPENSES!$A$5:$A$126,MATCH(J129,EXPENSES!$L$5:$L$126,0)),""))</f>
        <v/>
      </c>
    </row>
    <row r="130">
      <c r="A130" s="12" t="n"/>
      <c r="B130" s="68" t="n"/>
      <c r="C130" s="68" t="n"/>
      <c r="D130" s="26" t="n"/>
      <c r="E130" s="68" t="n"/>
      <c r="F130" s="68" t="n"/>
      <c r="G130" s="68" t="n"/>
      <c r="H130" s="68" t="n"/>
      <c r="I130" s="68" t="n"/>
      <c r="J130" s="38">
        <f>IF(E130="","",LEFT(E130,6))</f>
        <v/>
      </c>
      <c r="K130" s="39">
        <f>IF(J130="","",IFERROR(INDEX(EXPENSES!$A$5:$A$126,MATCH(J130,EXPENSES!$L$5:$L$126,0)),""))</f>
        <v/>
      </c>
    </row>
    <row r="131">
      <c r="A131" s="12" t="n"/>
      <c r="B131" s="68" t="n"/>
      <c r="C131" s="68" t="n"/>
      <c r="D131" s="26" t="n"/>
      <c r="E131" s="68" t="n"/>
      <c r="F131" s="68" t="n"/>
      <c r="G131" s="68" t="n"/>
      <c r="H131" s="68" t="n"/>
      <c r="I131" s="68" t="n"/>
      <c r="J131" s="38">
        <f>IF(E131="","",LEFT(E131,6))</f>
        <v/>
      </c>
      <c r="K131" s="39">
        <f>IF(J131="","",IFERROR(INDEX(EXPENSES!$A$5:$A$126,MATCH(J131,EXPENSES!$L$5:$L$126,0)),""))</f>
        <v/>
      </c>
    </row>
    <row r="132">
      <c r="A132" s="12" t="n"/>
      <c r="B132" s="68" t="n"/>
      <c r="C132" s="68" t="n"/>
      <c r="D132" s="26" t="n"/>
      <c r="E132" s="68" t="n"/>
      <c r="F132" s="68" t="n"/>
      <c r="G132" s="68" t="n"/>
      <c r="H132" s="68" t="n"/>
      <c r="I132" s="68" t="n"/>
      <c r="J132" s="38">
        <f>IF(E132="","",LEFT(E132,6))</f>
        <v/>
      </c>
      <c r="K132" s="39">
        <f>IF(J132="","",IFERROR(INDEX(EXPENSES!$A$5:$A$126,MATCH(J132,EXPENSES!$L$5:$L$126,0)),""))</f>
        <v/>
      </c>
    </row>
    <row r="133">
      <c r="A133" s="12" t="n"/>
      <c r="B133" s="68" t="n"/>
      <c r="C133" s="68" t="n"/>
      <c r="D133" s="26" t="n"/>
      <c r="E133" s="68" t="n"/>
      <c r="F133" s="68" t="n"/>
      <c r="G133" s="68" t="n"/>
      <c r="H133" s="68" t="n"/>
      <c r="I133" s="68" t="n"/>
      <c r="J133" s="38">
        <f>IF(E133="","",LEFT(E133,6))</f>
        <v/>
      </c>
      <c r="K133" s="39">
        <f>IF(J133="","",IFERROR(INDEX(EXPENSES!$A$5:$A$126,MATCH(J133,EXPENSES!$L$5:$L$126,0)),""))</f>
        <v/>
      </c>
    </row>
    <row r="134">
      <c r="A134" s="12" t="n"/>
      <c r="B134" s="68" t="n"/>
      <c r="C134" s="68" t="n"/>
      <c r="D134" s="26" t="n"/>
      <c r="E134" s="68" t="n"/>
      <c r="F134" s="68" t="n"/>
      <c r="G134" s="68" t="n"/>
      <c r="H134" s="68" t="n"/>
      <c r="I134" s="68" t="n"/>
      <c r="J134" s="38">
        <f>IF(E134="","",LEFT(E134,6))</f>
        <v/>
      </c>
      <c r="K134" s="39">
        <f>IF(J134="","",IFERROR(INDEX(EXPENSES!$A$5:$A$126,MATCH(J134,EXPENSES!$L$5:$L$126,0)),""))</f>
        <v/>
      </c>
    </row>
    <row r="135">
      <c r="A135" s="12" t="n"/>
      <c r="B135" s="68" t="n"/>
      <c r="C135" s="68" t="n"/>
      <c r="D135" s="26" t="n"/>
      <c r="E135" s="68" t="n"/>
      <c r="F135" s="68" t="n"/>
      <c r="G135" s="68" t="n"/>
      <c r="H135" s="68" t="n"/>
      <c r="I135" s="68" t="n"/>
      <c r="J135" s="38">
        <f>IF(E135="","",LEFT(E135,6))</f>
        <v/>
      </c>
      <c r="K135" s="39">
        <f>IF(J135="","",IFERROR(INDEX(EXPENSES!$A$5:$A$126,MATCH(J135,EXPENSES!$L$5:$L$126,0)),""))</f>
        <v/>
      </c>
    </row>
    <row r="136">
      <c r="A136" s="12" t="n"/>
      <c r="B136" s="68" t="n"/>
      <c r="C136" s="68" t="n"/>
      <c r="D136" s="26" t="n"/>
      <c r="E136" s="68" t="n"/>
      <c r="F136" s="68" t="n"/>
      <c r="G136" s="68" t="n"/>
      <c r="H136" s="68" t="n"/>
      <c r="I136" s="68" t="n"/>
      <c r="J136" s="38">
        <f>IF(E136="","",LEFT(E136,6))</f>
        <v/>
      </c>
      <c r="K136" s="39">
        <f>IF(J136="","",IFERROR(INDEX(EXPENSES!$A$5:$A$126,MATCH(J136,EXPENSES!$L$5:$L$126,0)),""))</f>
        <v/>
      </c>
    </row>
    <row r="137">
      <c r="A137" s="12" t="n"/>
      <c r="B137" s="68" t="n"/>
      <c r="C137" s="68" t="n"/>
      <c r="D137" s="26" t="n"/>
      <c r="E137" s="68" t="n"/>
      <c r="F137" s="68" t="n"/>
      <c r="G137" s="68" t="n"/>
      <c r="H137" s="68" t="n"/>
      <c r="I137" s="68" t="n"/>
      <c r="J137" s="38">
        <f>IF(E137="","",LEFT(E137,6))</f>
        <v/>
      </c>
      <c r="K137" s="39">
        <f>IF(J137="","",IFERROR(INDEX(EXPENSES!$A$5:$A$126,MATCH(J137,EXPENSES!$L$5:$L$126,0)),""))</f>
        <v/>
      </c>
    </row>
    <row r="138">
      <c r="A138" s="12" t="n"/>
      <c r="B138" s="68" t="n"/>
      <c r="C138" s="68" t="n"/>
      <c r="D138" s="26" t="n"/>
      <c r="E138" s="68" t="n"/>
      <c r="F138" s="68" t="n"/>
      <c r="G138" s="68" t="n"/>
      <c r="H138" s="68" t="n"/>
      <c r="I138" s="68" t="n"/>
      <c r="J138" s="38">
        <f>IF(E138="","",LEFT(E138,6))</f>
        <v/>
      </c>
      <c r="K138" s="39">
        <f>IF(J138="","",IFERROR(INDEX(EXPENSES!$A$5:$A$126,MATCH(J138,EXPENSES!$L$5:$L$126,0)),""))</f>
        <v/>
      </c>
    </row>
    <row r="139">
      <c r="A139" s="12" t="n"/>
      <c r="B139" s="68" t="n"/>
      <c r="C139" s="68" t="n"/>
      <c r="D139" s="26" t="n"/>
      <c r="E139" s="68" t="n"/>
      <c r="F139" s="68" t="n"/>
      <c r="G139" s="68" t="n"/>
      <c r="H139" s="68" t="n"/>
      <c r="I139" s="68" t="n"/>
      <c r="J139" s="38">
        <f>IF(E139="","",LEFT(E139,6))</f>
        <v/>
      </c>
      <c r="K139" s="39">
        <f>IF(J139="","",IFERROR(INDEX(EXPENSES!$A$5:$A$126,MATCH(J139,EXPENSES!$L$5:$L$126,0)),""))</f>
        <v/>
      </c>
    </row>
    <row r="140">
      <c r="A140" s="12" t="n"/>
      <c r="B140" s="68" t="n"/>
      <c r="C140" s="68" t="n"/>
      <c r="D140" s="26" t="n"/>
      <c r="E140" s="68" t="n"/>
      <c r="F140" s="68" t="n"/>
      <c r="G140" s="68" t="n"/>
      <c r="H140" s="68" t="n"/>
      <c r="I140" s="68" t="n"/>
      <c r="J140" s="38">
        <f>IF(E140="","",LEFT(E140,6))</f>
        <v/>
      </c>
      <c r="K140" s="39">
        <f>IF(J140="","",IFERROR(INDEX(EXPENSES!$A$5:$A$126,MATCH(J140,EXPENSES!$L$5:$L$126,0)),""))</f>
        <v/>
      </c>
    </row>
    <row r="141">
      <c r="A141" s="12" t="n"/>
      <c r="B141" s="68" t="n"/>
      <c r="C141" s="68" t="n"/>
      <c r="D141" s="26" t="n"/>
      <c r="E141" s="68" t="n"/>
      <c r="F141" s="68" t="n"/>
      <c r="G141" s="68" t="n"/>
      <c r="H141" s="68" t="n"/>
      <c r="I141" s="68" t="n"/>
      <c r="J141" s="38">
        <f>IF(E141="","",LEFT(E141,6))</f>
        <v/>
      </c>
      <c r="K141" s="39">
        <f>IF(J141="","",IFERROR(INDEX(EXPENSES!$A$5:$A$126,MATCH(J141,EXPENSES!$L$5:$L$126,0)),""))</f>
        <v/>
      </c>
    </row>
    <row r="142">
      <c r="A142" s="12" t="n"/>
      <c r="B142" s="68" t="n"/>
      <c r="C142" s="68" t="n"/>
      <c r="D142" s="26" t="n"/>
      <c r="E142" s="68" t="n"/>
      <c r="F142" s="68" t="n"/>
      <c r="G142" s="68" t="n"/>
      <c r="H142" s="68" t="n"/>
      <c r="I142" s="68" t="n"/>
      <c r="J142" s="38">
        <f>IF(E142="","",LEFT(E142,6))</f>
        <v/>
      </c>
      <c r="K142" s="39">
        <f>IF(J142="","",IFERROR(INDEX(EXPENSES!$A$5:$A$126,MATCH(J142,EXPENSES!$L$5:$L$126,0)),""))</f>
        <v/>
      </c>
    </row>
    <row r="143">
      <c r="A143" s="12" t="n"/>
      <c r="B143" s="68" t="n"/>
      <c r="C143" s="68" t="n"/>
      <c r="D143" s="26" t="n"/>
      <c r="E143" s="68" t="n"/>
      <c r="F143" s="68" t="n"/>
      <c r="G143" s="68" t="n"/>
      <c r="H143" s="68" t="n"/>
      <c r="I143" s="68" t="n"/>
      <c r="J143" s="38">
        <f>IF(E143="","",LEFT(E143,6))</f>
        <v/>
      </c>
      <c r="K143" s="39">
        <f>IF(J143="","",IFERROR(INDEX(EXPENSES!$A$5:$A$126,MATCH(J143,EXPENSES!$L$5:$L$126,0)),""))</f>
        <v/>
      </c>
    </row>
    <row r="144">
      <c r="A144" s="12" t="n"/>
      <c r="B144" s="68" t="n"/>
      <c r="C144" s="68" t="n"/>
      <c r="D144" s="26" t="n"/>
      <c r="E144" s="68" t="n"/>
      <c r="F144" s="68" t="n"/>
      <c r="G144" s="68" t="n"/>
      <c r="H144" s="68" t="n"/>
      <c r="I144" s="68" t="n"/>
      <c r="J144" s="38">
        <f>IF(E144="","",LEFT(E144,6))</f>
        <v/>
      </c>
      <c r="K144" s="39">
        <f>IF(J144="","",IFERROR(INDEX(EXPENSES!$A$5:$A$126,MATCH(J144,EXPENSES!$L$5:$L$126,0)),""))</f>
        <v/>
      </c>
    </row>
    <row r="145">
      <c r="A145" s="12" t="n"/>
      <c r="B145" s="68" t="n"/>
      <c r="C145" s="68" t="n"/>
      <c r="D145" s="26" t="n"/>
      <c r="E145" s="68" t="n"/>
      <c r="F145" s="68" t="n"/>
      <c r="G145" s="68" t="n"/>
      <c r="H145" s="68" t="n"/>
      <c r="I145" s="68" t="n"/>
      <c r="J145" s="38">
        <f>IF(E145="","",LEFT(E145,6))</f>
        <v/>
      </c>
      <c r="K145" s="39">
        <f>IF(J145="","",IFERROR(INDEX(EXPENSES!$A$5:$A$126,MATCH(J145,EXPENSES!$L$5:$L$126,0)),""))</f>
        <v/>
      </c>
    </row>
    <row r="146">
      <c r="A146" s="12" t="n"/>
      <c r="B146" s="68" t="n"/>
      <c r="C146" s="68" t="n"/>
      <c r="D146" s="26" t="n"/>
      <c r="E146" s="68" t="n"/>
      <c r="F146" s="68" t="n"/>
      <c r="G146" s="68" t="n"/>
      <c r="H146" s="68" t="n"/>
      <c r="I146" s="68" t="n"/>
      <c r="J146" s="38">
        <f>IF(E146="","",LEFT(E146,6))</f>
        <v/>
      </c>
      <c r="K146" s="39">
        <f>IF(J146="","",IFERROR(INDEX(EXPENSES!$A$5:$A$126,MATCH(J146,EXPENSES!$L$5:$L$126,0)),""))</f>
        <v/>
      </c>
    </row>
    <row r="147">
      <c r="A147" s="12" t="n"/>
      <c r="B147" s="68" t="n"/>
      <c r="C147" s="68" t="n"/>
      <c r="D147" s="26" t="n"/>
      <c r="E147" s="68" t="n"/>
      <c r="F147" s="68" t="n"/>
      <c r="G147" s="68" t="n"/>
      <c r="H147" s="68" t="n"/>
      <c r="I147" s="68" t="n"/>
      <c r="J147" s="38">
        <f>IF(E147="","",LEFT(E147,6))</f>
        <v/>
      </c>
      <c r="K147" s="39">
        <f>IF(J147="","",IFERROR(INDEX(EXPENSES!$A$5:$A$126,MATCH(J147,EXPENSES!$L$5:$L$126,0)),""))</f>
        <v/>
      </c>
    </row>
    <row r="148">
      <c r="A148" s="12" t="n"/>
      <c r="B148" s="68" t="n"/>
      <c r="C148" s="68" t="n"/>
      <c r="D148" s="26" t="n"/>
      <c r="E148" s="68" t="n"/>
      <c r="F148" s="68" t="n"/>
      <c r="G148" s="68" t="n"/>
      <c r="H148" s="68" t="n"/>
      <c r="I148" s="68" t="n"/>
      <c r="J148" s="38">
        <f>IF(E148="","",LEFT(E148,6))</f>
        <v/>
      </c>
      <c r="K148" s="39">
        <f>IF(J148="","",IFERROR(INDEX(EXPENSES!$A$5:$A$126,MATCH(J148,EXPENSES!$L$5:$L$126,0)),""))</f>
        <v/>
      </c>
    </row>
    <row r="149">
      <c r="A149" s="12" t="n"/>
      <c r="B149" s="68" t="n"/>
      <c r="C149" s="68" t="n"/>
      <c r="D149" s="26" t="n"/>
      <c r="E149" s="68" t="n"/>
      <c r="F149" s="68" t="n"/>
      <c r="G149" s="68" t="n"/>
      <c r="H149" s="68" t="n"/>
      <c r="I149" s="68" t="n"/>
      <c r="J149" s="38">
        <f>IF(E149="","",LEFT(E149,6))</f>
        <v/>
      </c>
      <c r="K149" s="39">
        <f>IF(J149="","",IFERROR(INDEX(EXPENSES!$A$5:$A$126,MATCH(J149,EXPENSES!$L$5:$L$126,0)),""))</f>
        <v/>
      </c>
    </row>
    <row r="150">
      <c r="A150" s="12" t="n"/>
      <c r="B150" s="68" t="n"/>
      <c r="C150" s="68" t="n"/>
      <c r="D150" s="26" t="n"/>
      <c r="E150" s="68" t="n"/>
      <c r="F150" s="68" t="n"/>
      <c r="G150" s="68" t="n"/>
      <c r="H150" s="68" t="n"/>
      <c r="I150" s="68" t="n"/>
      <c r="J150" s="38">
        <f>IF(E150="","",LEFT(E150,6))</f>
        <v/>
      </c>
      <c r="K150" s="39">
        <f>IF(J150="","",IFERROR(INDEX(EXPENSES!$A$5:$A$126,MATCH(J150,EXPENSES!$L$5:$L$126,0)),""))</f>
        <v/>
      </c>
    </row>
    <row r="151">
      <c r="A151" s="12" t="n"/>
      <c r="B151" s="68" t="n"/>
      <c r="C151" s="68" t="n"/>
      <c r="D151" s="26" t="n"/>
      <c r="E151" s="68" t="n"/>
      <c r="F151" s="68" t="n"/>
      <c r="G151" s="68" t="n"/>
      <c r="H151" s="68" t="n"/>
      <c r="I151" s="68" t="n"/>
      <c r="J151" s="38">
        <f>IF(E151="","",LEFT(E151,6))</f>
        <v/>
      </c>
      <c r="K151" s="39">
        <f>IF(J151="","",IFERROR(INDEX(EXPENSES!$A$5:$A$126,MATCH(J151,EXPENSES!$L$5:$L$126,0)),""))</f>
        <v/>
      </c>
    </row>
    <row r="152">
      <c r="A152" s="12" t="n"/>
      <c r="B152" s="68" t="n"/>
      <c r="C152" s="68" t="n"/>
      <c r="D152" s="26" t="n"/>
      <c r="E152" s="68" t="n"/>
      <c r="F152" s="68" t="n"/>
      <c r="G152" s="68" t="n"/>
      <c r="H152" s="68" t="n"/>
      <c r="I152" s="68" t="n"/>
      <c r="J152" s="38">
        <f>IF(E152="","",LEFT(E152,6))</f>
        <v/>
      </c>
      <c r="K152" s="39">
        <f>IF(J152="","",IFERROR(INDEX(EXPENSES!$A$5:$A$126,MATCH(J152,EXPENSES!$L$5:$L$126,0)),""))</f>
        <v/>
      </c>
    </row>
    <row r="153">
      <c r="A153" s="12" t="n"/>
      <c r="B153" s="68" t="n"/>
      <c r="C153" s="68" t="n"/>
      <c r="D153" s="26" t="n"/>
      <c r="E153" s="68" t="n"/>
      <c r="F153" s="68" t="n"/>
      <c r="G153" s="68" t="n"/>
      <c r="H153" s="68" t="n"/>
      <c r="I153" s="68" t="n"/>
      <c r="J153" s="38">
        <f>IF(E153="","",LEFT(E153,6))</f>
        <v/>
      </c>
      <c r="K153" s="39">
        <f>IF(J153="","",IFERROR(INDEX(EXPENSES!$A$5:$A$126,MATCH(J153,EXPENSES!$L$5:$L$126,0)),""))</f>
        <v/>
      </c>
    </row>
    <row r="154">
      <c r="A154" s="12" t="n"/>
      <c r="B154" s="68" t="n"/>
      <c r="C154" s="68" t="n"/>
      <c r="D154" s="26" t="n"/>
      <c r="E154" s="68" t="n"/>
      <c r="F154" s="68" t="n"/>
      <c r="G154" s="68" t="n"/>
      <c r="H154" s="68" t="n"/>
      <c r="I154" s="68" t="n"/>
      <c r="J154" s="38">
        <f>IF(E154="","",LEFT(E154,6))</f>
        <v/>
      </c>
      <c r="K154" s="39">
        <f>IF(J154="","",IFERROR(INDEX(EXPENSES!$A$5:$A$126,MATCH(J154,EXPENSES!$L$5:$L$126,0)),""))</f>
        <v/>
      </c>
    </row>
    <row r="155">
      <c r="A155" s="12" t="n"/>
      <c r="B155" s="68" t="n"/>
      <c r="C155" s="68" t="n"/>
      <c r="D155" s="26" t="n"/>
      <c r="E155" s="68" t="n"/>
      <c r="F155" s="68" t="n"/>
      <c r="G155" s="68" t="n"/>
      <c r="H155" s="68" t="n"/>
      <c r="I155" s="68" t="n"/>
      <c r="J155" s="38">
        <f>IF(E155="","",LEFT(E155,6))</f>
        <v/>
      </c>
      <c r="K155" s="39">
        <f>IF(J155="","",IFERROR(INDEX(EXPENSES!$A$5:$A$126,MATCH(J155,EXPENSES!$L$5:$L$126,0)),""))</f>
        <v/>
      </c>
    </row>
    <row r="156">
      <c r="A156" s="12" t="n"/>
      <c r="B156" s="68" t="n"/>
      <c r="C156" s="68" t="n"/>
      <c r="D156" s="26" t="n"/>
      <c r="E156" s="68" t="n"/>
      <c r="F156" s="68" t="n"/>
      <c r="G156" s="68" t="n"/>
      <c r="H156" s="68" t="n"/>
      <c r="I156" s="68" t="n"/>
      <c r="J156" s="38">
        <f>IF(E156="","",LEFT(E156,6))</f>
        <v/>
      </c>
      <c r="K156" s="39">
        <f>IF(J156="","",IFERROR(INDEX(EXPENSES!$A$5:$A$126,MATCH(J156,EXPENSES!$L$5:$L$126,0)),""))</f>
        <v/>
      </c>
    </row>
    <row r="157">
      <c r="A157" s="12" t="n"/>
      <c r="B157" s="68" t="n"/>
      <c r="C157" s="68" t="n"/>
      <c r="D157" s="26" t="n"/>
      <c r="E157" s="68" t="n"/>
      <c r="F157" s="68" t="n"/>
      <c r="G157" s="68" t="n"/>
      <c r="H157" s="68" t="n"/>
      <c r="I157" s="68" t="n"/>
      <c r="J157" s="38">
        <f>IF(E157="","",LEFT(E157,6))</f>
        <v/>
      </c>
      <c r="K157" s="39">
        <f>IF(J157="","",IFERROR(INDEX(EXPENSES!$A$5:$A$126,MATCH(J157,EXPENSES!$L$5:$L$126,0)),""))</f>
        <v/>
      </c>
    </row>
    <row r="158">
      <c r="A158" s="12" t="n"/>
      <c r="B158" s="68" t="n"/>
      <c r="C158" s="68" t="n"/>
      <c r="D158" s="26" t="n"/>
      <c r="E158" s="68" t="n"/>
      <c r="F158" s="68" t="n"/>
      <c r="G158" s="68" t="n"/>
      <c r="H158" s="68" t="n"/>
      <c r="I158" s="68" t="n"/>
      <c r="J158" s="38">
        <f>IF(E158="","",LEFT(E158,6))</f>
        <v/>
      </c>
      <c r="K158" s="39">
        <f>IF(J158="","",IFERROR(INDEX(EXPENSES!$A$5:$A$126,MATCH(J158,EXPENSES!$L$5:$L$126,0)),""))</f>
        <v/>
      </c>
    </row>
    <row r="159">
      <c r="A159" s="12" t="n"/>
      <c r="B159" s="68" t="n"/>
      <c r="C159" s="68" t="n"/>
      <c r="D159" s="26" t="n"/>
      <c r="E159" s="68" t="n"/>
      <c r="F159" s="68" t="n"/>
      <c r="G159" s="68" t="n"/>
      <c r="H159" s="68" t="n"/>
      <c r="I159" s="68" t="n"/>
      <c r="J159" s="38">
        <f>IF(E159="","",LEFT(E159,6))</f>
        <v/>
      </c>
      <c r="K159" s="39">
        <f>IF(J159="","",IFERROR(INDEX(EXPENSES!$A$5:$A$126,MATCH(J159,EXPENSES!$L$5:$L$126,0)),""))</f>
        <v/>
      </c>
    </row>
    <row r="160">
      <c r="A160" s="12" t="n"/>
      <c r="B160" s="68" t="n"/>
      <c r="C160" s="68" t="n"/>
      <c r="D160" s="26" t="n"/>
      <c r="E160" s="68" t="n"/>
      <c r="F160" s="68" t="n"/>
      <c r="G160" s="68" t="n"/>
      <c r="H160" s="68" t="n"/>
      <c r="I160" s="68" t="n"/>
      <c r="J160" s="38">
        <f>IF(E160="","",LEFT(E160,6))</f>
        <v/>
      </c>
      <c r="K160" s="39">
        <f>IF(J160="","",IFERROR(INDEX(EXPENSES!$A$5:$A$126,MATCH(J160,EXPENSES!$L$5:$L$126,0)),""))</f>
        <v/>
      </c>
    </row>
    <row r="161">
      <c r="A161" s="12" t="n"/>
      <c r="B161" s="68" t="n"/>
      <c r="C161" s="68" t="n"/>
      <c r="D161" s="26" t="n"/>
      <c r="E161" s="68" t="n"/>
      <c r="F161" s="68" t="n"/>
      <c r="G161" s="68" t="n"/>
      <c r="H161" s="68" t="n"/>
      <c r="I161" s="68" t="n"/>
      <c r="J161" s="38">
        <f>IF(E161="","",LEFT(E161,6))</f>
        <v/>
      </c>
      <c r="K161" s="39">
        <f>IF(J161="","",IFERROR(INDEX(EXPENSES!$A$5:$A$126,MATCH(J161,EXPENSES!$L$5:$L$126,0)),""))</f>
        <v/>
      </c>
    </row>
    <row r="162">
      <c r="A162" s="12" t="n"/>
      <c r="B162" s="68" t="n"/>
      <c r="C162" s="68" t="n"/>
      <c r="D162" s="26" t="n"/>
      <c r="E162" s="68" t="n"/>
      <c r="F162" s="68" t="n"/>
      <c r="G162" s="68" t="n"/>
      <c r="H162" s="68" t="n"/>
      <c r="I162" s="68" t="n"/>
      <c r="J162" s="38">
        <f>IF(E162="","",LEFT(E162,6))</f>
        <v/>
      </c>
      <c r="K162" s="39">
        <f>IF(J162="","",IFERROR(INDEX(EXPENSES!$A$5:$A$126,MATCH(J162,EXPENSES!$L$5:$L$126,0)),""))</f>
        <v/>
      </c>
    </row>
    <row r="163">
      <c r="A163" s="12" t="n"/>
      <c r="B163" s="68" t="n"/>
      <c r="C163" s="68" t="n"/>
      <c r="D163" s="26" t="n"/>
      <c r="E163" s="68" t="n"/>
      <c r="F163" s="68" t="n"/>
      <c r="G163" s="68" t="n"/>
      <c r="H163" s="68" t="n"/>
      <c r="I163" s="68" t="n"/>
      <c r="J163" s="38">
        <f>IF(E163="","",LEFT(E163,6))</f>
        <v/>
      </c>
      <c r="K163" s="39">
        <f>IF(J163="","",IFERROR(INDEX(EXPENSES!$A$5:$A$126,MATCH(J163,EXPENSES!$L$5:$L$126,0)),""))</f>
        <v/>
      </c>
    </row>
    <row r="164">
      <c r="A164" s="12" t="n"/>
      <c r="B164" s="68" t="n"/>
      <c r="C164" s="68" t="n"/>
      <c r="D164" s="26" t="n"/>
      <c r="E164" s="68" t="n"/>
      <c r="F164" s="68" t="n"/>
      <c r="G164" s="68" t="n"/>
      <c r="H164" s="68" t="n"/>
      <c r="I164" s="68" t="n"/>
      <c r="J164" s="38">
        <f>IF(E164="","",LEFT(E164,6))</f>
        <v/>
      </c>
      <c r="K164" s="39">
        <f>IF(J164="","",IFERROR(INDEX(EXPENSES!$A$5:$A$126,MATCH(J164,EXPENSES!$L$5:$L$126,0)),""))</f>
        <v/>
      </c>
    </row>
    <row r="165">
      <c r="A165" s="12" t="n"/>
      <c r="B165" s="68" t="n"/>
      <c r="C165" s="68" t="n"/>
      <c r="D165" s="26" t="n"/>
      <c r="E165" s="68" t="n"/>
      <c r="F165" s="68" t="n"/>
      <c r="G165" s="68" t="n"/>
      <c r="H165" s="68" t="n"/>
      <c r="I165" s="68" t="n"/>
      <c r="J165" s="38">
        <f>IF(E165="","",LEFT(E165,6))</f>
        <v/>
      </c>
      <c r="K165" s="39">
        <f>IF(J165="","",IFERROR(INDEX(EXPENSES!$A$5:$A$126,MATCH(J165,EXPENSES!$L$5:$L$126,0)),""))</f>
        <v/>
      </c>
    </row>
    <row r="166">
      <c r="A166" s="12" t="n"/>
      <c r="B166" s="68" t="n"/>
      <c r="C166" s="68" t="n"/>
      <c r="D166" s="26" t="n"/>
      <c r="E166" s="68" t="n"/>
      <c r="F166" s="68" t="n"/>
      <c r="G166" s="68" t="n"/>
      <c r="H166" s="68" t="n"/>
      <c r="I166" s="68" t="n"/>
      <c r="J166" s="38">
        <f>IF(E166="","",LEFT(E166,6))</f>
        <v/>
      </c>
      <c r="K166" s="39">
        <f>IF(J166="","",IFERROR(INDEX(EXPENSES!$A$5:$A$126,MATCH(J166,EXPENSES!$L$5:$L$126,0)),""))</f>
        <v/>
      </c>
    </row>
    <row r="167">
      <c r="A167" s="12" t="n"/>
      <c r="B167" s="68" t="n"/>
      <c r="C167" s="68" t="n"/>
      <c r="D167" s="26" t="n"/>
      <c r="E167" s="68" t="n"/>
      <c r="F167" s="68" t="n"/>
      <c r="G167" s="68" t="n"/>
      <c r="H167" s="68" t="n"/>
      <c r="I167" s="68" t="n"/>
      <c r="J167" s="38">
        <f>IF(E167="","",LEFT(E167,6))</f>
        <v/>
      </c>
      <c r="K167" s="39">
        <f>IF(J167="","",IFERROR(INDEX(EXPENSES!$A$5:$A$126,MATCH(J167,EXPENSES!$L$5:$L$126,0)),""))</f>
        <v/>
      </c>
    </row>
    <row r="168">
      <c r="A168" s="12" t="n"/>
      <c r="B168" s="68" t="n"/>
      <c r="C168" s="68" t="n"/>
      <c r="D168" s="26" t="n"/>
      <c r="E168" s="68" t="n"/>
      <c r="F168" s="68" t="n"/>
      <c r="G168" s="68" t="n"/>
      <c r="H168" s="68" t="n"/>
      <c r="I168" s="68" t="n"/>
      <c r="J168" s="38">
        <f>IF(E168="","",LEFT(E168,6))</f>
        <v/>
      </c>
      <c r="K168" s="39">
        <f>IF(J168="","",IFERROR(INDEX(EXPENSES!$A$5:$A$126,MATCH(J168,EXPENSES!$L$5:$L$126,0)),""))</f>
        <v/>
      </c>
    </row>
    <row r="169">
      <c r="A169" s="12" t="n"/>
      <c r="B169" s="68" t="n"/>
      <c r="C169" s="68" t="n"/>
      <c r="D169" s="26" t="n"/>
      <c r="E169" s="68" t="n"/>
      <c r="F169" s="68" t="n"/>
      <c r="G169" s="68" t="n"/>
      <c r="H169" s="68" t="n"/>
      <c r="I169" s="68" t="n"/>
      <c r="J169" s="38">
        <f>IF(E169="","",LEFT(E169,6))</f>
        <v/>
      </c>
      <c r="K169" s="39">
        <f>IF(J169="","",IFERROR(INDEX(EXPENSES!$A$5:$A$126,MATCH(J169,EXPENSES!$L$5:$L$126,0)),""))</f>
        <v/>
      </c>
    </row>
    <row r="170">
      <c r="A170" s="12" t="n"/>
      <c r="B170" s="68" t="n"/>
      <c r="C170" s="68" t="n"/>
      <c r="D170" s="26" t="n"/>
      <c r="E170" s="68" t="n"/>
      <c r="F170" s="68" t="n"/>
      <c r="G170" s="68" t="n"/>
      <c r="H170" s="68" t="n"/>
      <c r="I170" s="68" t="n"/>
      <c r="J170" s="38">
        <f>IF(E170="","",LEFT(E170,6))</f>
        <v/>
      </c>
      <c r="K170" s="39">
        <f>IF(J170="","",IFERROR(INDEX(EXPENSES!$A$5:$A$126,MATCH(J170,EXPENSES!$L$5:$L$126,0)),""))</f>
        <v/>
      </c>
    </row>
    <row r="171">
      <c r="A171" s="12" t="n"/>
      <c r="B171" s="68" t="n"/>
      <c r="C171" s="68" t="n"/>
      <c r="D171" s="26" t="n"/>
      <c r="E171" s="68" t="n"/>
      <c r="F171" s="68" t="n"/>
      <c r="G171" s="68" t="n"/>
      <c r="H171" s="68" t="n"/>
      <c r="I171" s="68" t="n"/>
      <c r="J171" s="38">
        <f>IF(E171="","",LEFT(E171,6))</f>
        <v/>
      </c>
      <c r="K171" s="39">
        <f>IF(J171="","",IFERROR(INDEX(EXPENSES!$A$5:$A$126,MATCH(J171,EXPENSES!$L$5:$L$126,0)),""))</f>
        <v/>
      </c>
    </row>
    <row r="172">
      <c r="A172" s="12" t="n"/>
      <c r="B172" s="68" t="n"/>
      <c r="C172" s="68" t="n"/>
      <c r="D172" s="26" t="n"/>
      <c r="E172" s="68" t="n"/>
      <c r="F172" s="68" t="n"/>
      <c r="G172" s="68" t="n"/>
      <c r="H172" s="68" t="n"/>
      <c r="I172" s="68" t="n"/>
      <c r="J172" s="38">
        <f>IF(E172="","",LEFT(E172,6))</f>
        <v/>
      </c>
      <c r="K172" s="39">
        <f>IF(J172="","",IFERROR(INDEX(EXPENSES!$A$5:$A$126,MATCH(J172,EXPENSES!$L$5:$L$126,0)),""))</f>
        <v/>
      </c>
    </row>
    <row r="173">
      <c r="A173" s="12" t="n"/>
      <c r="B173" s="68" t="n"/>
      <c r="C173" s="68" t="n"/>
      <c r="D173" s="26" t="n"/>
      <c r="E173" s="68" t="n"/>
      <c r="F173" s="68" t="n"/>
      <c r="G173" s="68" t="n"/>
      <c r="H173" s="68" t="n"/>
      <c r="I173" s="68" t="n"/>
      <c r="J173" s="38">
        <f>IF(E173="","",LEFT(E173,6))</f>
        <v/>
      </c>
      <c r="K173" s="39">
        <f>IF(J173="","",IFERROR(INDEX(EXPENSES!$A$5:$A$126,MATCH(J173,EXPENSES!$L$5:$L$126,0)),""))</f>
        <v/>
      </c>
    </row>
    <row r="174">
      <c r="A174" s="12" t="n"/>
      <c r="B174" s="68" t="n"/>
      <c r="C174" s="68" t="n"/>
      <c r="D174" s="26" t="n"/>
      <c r="E174" s="68" t="n"/>
      <c r="F174" s="68" t="n"/>
      <c r="G174" s="68" t="n"/>
      <c r="H174" s="68" t="n"/>
      <c r="I174" s="68" t="n"/>
      <c r="J174" s="38">
        <f>IF(E174="","",LEFT(E174,6))</f>
        <v/>
      </c>
      <c r="K174" s="39">
        <f>IF(J174="","",IFERROR(INDEX(EXPENSES!$A$5:$A$126,MATCH(J174,EXPENSES!$L$5:$L$126,0)),""))</f>
        <v/>
      </c>
    </row>
    <row r="175">
      <c r="A175" s="12" t="n"/>
      <c r="B175" s="68" t="n"/>
      <c r="C175" s="68" t="n"/>
      <c r="D175" s="26" t="n"/>
      <c r="E175" s="68" t="n"/>
      <c r="F175" s="68" t="n"/>
      <c r="G175" s="68" t="n"/>
      <c r="H175" s="68" t="n"/>
      <c r="I175" s="68" t="n"/>
      <c r="J175" s="38">
        <f>IF(E175="","",LEFT(E175,6))</f>
        <v/>
      </c>
      <c r="K175" s="39">
        <f>IF(J175="","",IFERROR(INDEX(EXPENSES!$A$5:$A$126,MATCH(J175,EXPENSES!$L$5:$L$126,0)),""))</f>
        <v/>
      </c>
    </row>
    <row r="176">
      <c r="A176" s="12" t="n"/>
      <c r="B176" s="68" t="n"/>
      <c r="C176" s="68" t="n"/>
      <c r="D176" s="26" t="n"/>
      <c r="E176" s="68" t="n"/>
      <c r="F176" s="68" t="n"/>
      <c r="G176" s="68" t="n"/>
      <c r="H176" s="68" t="n"/>
      <c r="I176" s="68" t="n"/>
      <c r="J176" s="38">
        <f>IF(E176="","",LEFT(E176,6))</f>
        <v/>
      </c>
      <c r="K176" s="39">
        <f>IF(J176="","",IFERROR(INDEX(EXPENSES!$A$5:$A$126,MATCH(J176,EXPENSES!$L$5:$L$126,0)),""))</f>
        <v/>
      </c>
    </row>
    <row r="177">
      <c r="A177" s="12" t="n"/>
      <c r="B177" s="68" t="n"/>
      <c r="C177" s="68" t="n"/>
      <c r="D177" s="26" t="n"/>
      <c r="E177" s="68" t="n"/>
      <c r="F177" s="68" t="n"/>
      <c r="G177" s="68" t="n"/>
      <c r="H177" s="68" t="n"/>
      <c r="I177" s="68" t="n"/>
      <c r="J177" s="38">
        <f>IF(E177="","",LEFT(E177,6))</f>
        <v/>
      </c>
      <c r="K177" s="39">
        <f>IF(J177="","",IFERROR(INDEX(EXPENSES!$A$5:$A$126,MATCH(J177,EXPENSES!$L$5:$L$126,0)),""))</f>
        <v/>
      </c>
    </row>
    <row r="178">
      <c r="A178" s="12" t="n"/>
      <c r="B178" s="68" t="n"/>
      <c r="C178" s="68" t="n"/>
      <c r="D178" s="26" t="n"/>
      <c r="E178" s="68" t="n"/>
      <c r="F178" s="68" t="n"/>
      <c r="G178" s="68" t="n"/>
      <c r="H178" s="68" t="n"/>
      <c r="I178" s="68" t="n"/>
      <c r="J178" s="38">
        <f>IF(E178="","",LEFT(E178,6))</f>
        <v/>
      </c>
      <c r="K178" s="39">
        <f>IF(J178="","",IFERROR(INDEX(EXPENSES!$A$5:$A$126,MATCH(J178,EXPENSES!$L$5:$L$126,0)),""))</f>
        <v/>
      </c>
    </row>
    <row r="179">
      <c r="A179" s="12" t="n"/>
      <c r="B179" s="68" t="n"/>
      <c r="C179" s="68" t="n"/>
      <c r="D179" s="26" t="n"/>
      <c r="E179" s="68" t="n"/>
      <c r="F179" s="68" t="n"/>
      <c r="G179" s="68" t="n"/>
      <c r="H179" s="68" t="n"/>
      <c r="I179" s="68" t="n"/>
      <c r="J179" s="38">
        <f>IF(E179="","",LEFT(E179,6))</f>
        <v/>
      </c>
      <c r="K179" s="39">
        <f>IF(J179="","",IFERROR(INDEX(EXPENSES!$A$5:$A$126,MATCH(J179,EXPENSES!$L$5:$L$126,0)),""))</f>
        <v/>
      </c>
    </row>
    <row r="180">
      <c r="A180" s="12" t="n"/>
      <c r="B180" s="68" t="n"/>
      <c r="C180" s="68" t="n"/>
      <c r="D180" s="26" t="n"/>
      <c r="E180" s="68" t="n"/>
      <c r="F180" s="68" t="n"/>
      <c r="G180" s="68" t="n"/>
      <c r="H180" s="68" t="n"/>
      <c r="I180" s="68" t="n"/>
      <c r="J180" s="38">
        <f>IF(E180="","",LEFT(E180,6))</f>
        <v/>
      </c>
      <c r="K180" s="39">
        <f>IF(J180="","",IFERROR(INDEX(EXPENSES!$A$5:$A$126,MATCH(J180,EXPENSES!$L$5:$L$126,0)),""))</f>
        <v/>
      </c>
    </row>
    <row r="181">
      <c r="A181" s="12" t="n"/>
      <c r="B181" s="68" t="n"/>
      <c r="C181" s="68" t="n"/>
      <c r="D181" s="26" t="n"/>
      <c r="E181" s="68" t="n"/>
      <c r="F181" s="68" t="n"/>
      <c r="G181" s="68" t="n"/>
      <c r="H181" s="68" t="n"/>
      <c r="I181" s="68" t="n"/>
      <c r="J181" s="38">
        <f>IF(E181="","",LEFT(E181,6))</f>
        <v/>
      </c>
      <c r="K181" s="39">
        <f>IF(J181="","",IFERROR(INDEX(EXPENSES!$A$5:$A$126,MATCH(J181,EXPENSES!$L$5:$L$126,0)),""))</f>
        <v/>
      </c>
    </row>
    <row r="182">
      <c r="A182" s="12" t="n"/>
      <c r="B182" s="68" t="n"/>
      <c r="C182" s="68" t="n"/>
      <c r="D182" s="26" t="n"/>
      <c r="E182" s="68" t="n"/>
      <c r="F182" s="68" t="n"/>
      <c r="G182" s="68" t="n"/>
      <c r="H182" s="68" t="n"/>
      <c r="I182" s="68" t="n"/>
      <c r="J182" s="38">
        <f>IF(E182="","",LEFT(E182,6))</f>
        <v/>
      </c>
      <c r="K182" s="39">
        <f>IF(J182="","",IFERROR(INDEX(EXPENSES!$A$5:$A$126,MATCH(J182,EXPENSES!$L$5:$L$126,0)),""))</f>
        <v/>
      </c>
    </row>
    <row r="183">
      <c r="A183" s="12" t="n"/>
      <c r="B183" s="68" t="n"/>
      <c r="C183" s="68" t="n"/>
      <c r="D183" s="26" t="n"/>
      <c r="E183" s="68" t="n"/>
      <c r="F183" s="68" t="n"/>
      <c r="G183" s="68" t="n"/>
      <c r="H183" s="68" t="n"/>
      <c r="I183" s="68" t="n"/>
      <c r="J183" s="38">
        <f>IF(E183="","",LEFT(E183,6))</f>
        <v/>
      </c>
      <c r="K183" s="39">
        <f>IF(J183="","",IFERROR(INDEX(EXPENSES!$A$5:$A$126,MATCH(J183,EXPENSES!$L$5:$L$126,0)),""))</f>
        <v/>
      </c>
    </row>
    <row r="184">
      <c r="A184" s="12" t="n"/>
      <c r="B184" s="68" t="n"/>
      <c r="C184" s="68" t="n"/>
      <c r="D184" s="26" t="n"/>
      <c r="E184" s="68" t="n"/>
      <c r="F184" s="68" t="n"/>
      <c r="G184" s="68" t="n"/>
      <c r="H184" s="68" t="n"/>
      <c r="I184" s="68" t="n"/>
      <c r="J184" s="38">
        <f>IF(E184="","",LEFT(E184,6))</f>
        <v/>
      </c>
      <c r="K184" s="39">
        <f>IF(J184="","",IFERROR(INDEX(EXPENSES!$A$5:$A$126,MATCH(J184,EXPENSES!$L$5:$L$126,0)),""))</f>
        <v/>
      </c>
    </row>
    <row r="185">
      <c r="A185" s="12" t="n"/>
      <c r="B185" s="68" t="n"/>
      <c r="C185" s="68" t="n"/>
      <c r="D185" s="26" t="n"/>
      <c r="E185" s="68" t="n"/>
      <c r="F185" s="68" t="n"/>
      <c r="G185" s="68" t="n"/>
      <c r="H185" s="68" t="n"/>
      <c r="I185" s="68" t="n"/>
      <c r="J185" s="38">
        <f>IF(E185="","",LEFT(E185,6))</f>
        <v/>
      </c>
      <c r="K185" s="39">
        <f>IF(J185="","",IFERROR(INDEX(EXPENSES!$A$5:$A$126,MATCH(J185,EXPENSES!$L$5:$L$126,0)),""))</f>
        <v/>
      </c>
    </row>
    <row r="186">
      <c r="A186" s="12" t="n"/>
      <c r="B186" s="68" t="n"/>
      <c r="C186" s="68" t="n"/>
      <c r="D186" s="26" t="n"/>
      <c r="E186" s="68" t="n"/>
      <c r="F186" s="68" t="n"/>
      <c r="G186" s="68" t="n"/>
      <c r="H186" s="68" t="n"/>
      <c r="I186" s="68" t="n"/>
      <c r="J186" s="38">
        <f>IF(E186="","",LEFT(E186,6))</f>
        <v/>
      </c>
      <c r="K186" s="39">
        <f>IF(J186="","",IFERROR(INDEX(EXPENSES!$A$5:$A$126,MATCH(J186,EXPENSES!$L$5:$L$126,0)),""))</f>
        <v/>
      </c>
    </row>
    <row r="187">
      <c r="A187" s="12" t="n"/>
      <c r="B187" s="68" t="n"/>
      <c r="C187" s="68" t="n"/>
      <c r="D187" s="26" t="n"/>
      <c r="E187" s="68" t="n"/>
      <c r="F187" s="68" t="n"/>
      <c r="G187" s="68" t="n"/>
      <c r="H187" s="68" t="n"/>
      <c r="I187" s="68" t="n"/>
      <c r="J187" s="38">
        <f>IF(E187="","",LEFT(E187,6))</f>
        <v/>
      </c>
      <c r="K187" s="39">
        <f>IF(J187="","",IFERROR(INDEX(EXPENSES!$A$5:$A$126,MATCH(J187,EXPENSES!$L$5:$L$126,0)),""))</f>
        <v/>
      </c>
    </row>
    <row r="188">
      <c r="A188" s="12" t="n"/>
      <c r="B188" s="68" t="n"/>
      <c r="C188" s="68" t="n"/>
      <c r="D188" s="26" t="n"/>
      <c r="E188" s="68" t="n"/>
      <c r="F188" s="68" t="n"/>
      <c r="G188" s="68" t="n"/>
      <c r="H188" s="68" t="n"/>
      <c r="I188" s="68" t="n"/>
      <c r="J188" s="38">
        <f>IF(E188="","",LEFT(E188,6))</f>
        <v/>
      </c>
      <c r="K188" s="39">
        <f>IF(J188="","",IFERROR(INDEX(EXPENSES!$A$5:$A$126,MATCH(J188,EXPENSES!$L$5:$L$126,0)),""))</f>
        <v/>
      </c>
    </row>
    <row r="189">
      <c r="A189" s="12" t="n"/>
      <c r="B189" s="68" t="n"/>
      <c r="C189" s="68" t="n"/>
      <c r="D189" s="26" t="n"/>
      <c r="E189" s="68" t="n"/>
      <c r="F189" s="68" t="n"/>
      <c r="G189" s="68" t="n"/>
      <c r="H189" s="68" t="n"/>
      <c r="I189" s="68" t="n"/>
      <c r="J189" s="38">
        <f>IF(E189="","",LEFT(E189,6))</f>
        <v/>
      </c>
      <c r="K189" s="39">
        <f>IF(J189="","",IFERROR(INDEX(EXPENSES!$A$5:$A$126,MATCH(J189,EXPENSES!$L$5:$L$126,0)),""))</f>
        <v/>
      </c>
    </row>
    <row r="190">
      <c r="A190" s="12" t="n"/>
      <c r="B190" s="68" t="n"/>
      <c r="C190" s="68" t="n"/>
      <c r="D190" s="26" t="n"/>
      <c r="E190" s="68" t="n"/>
      <c r="F190" s="68" t="n"/>
      <c r="G190" s="68" t="n"/>
      <c r="H190" s="68" t="n"/>
      <c r="I190" s="68" t="n"/>
      <c r="J190" s="38">
        <f>IF(E190="","",LEFT(E190,6))</f>
        <v/>
      </c>
      <c r="K190" s="39">
        <f>IF(J190="","",IFERROR(INDEX(EXPENSES!$A$5:$A$126,MATCH(J190,EXPENSES!$L$5:$L$126,0)),""))</f>
        <v/>
      </c>
    </row>
    <row r="191">
      <c r="A191" s="12" t="n"/>
      <c r="B191" s="68" t="n"/>
      <c r="C191" s="68" t="n"/>
      <c r="D191" s="26" t="n"/>
      <c r="E191" s="68" t="n"/>
      <c r="F191" s="68" t="n"/>
      <c r="G191" s="68" t="n"/>
      <c r="H191" s="68" t="n"/>
      <c r="I191" s="68" t="n"/>
      <c r="J191" s="38">
        <f>IF(E191="","",LEFT(E191,6))</f>
        <v/>
      </c>
      <c r="K191" s="39">
        <f>IF(J191="","",IFERROR(INDEX(EXPENSES!$A$5:$A$126,MATCH(J191,EXPENSES!$L$5:$L$126,0)),""))</f>
        <v/>
      </c>
    </row>
    <row r="192">
      <c r="A192" s="12" t="n"/>
      <c r="B192" s="68" t="n"/>
      <c r="C192" s="68" t="n"/>
      <c r="D192" s="26" t="n"/>
      <c r="E192" s="68" t="n"/>
      <c r="F192" s="68" t="n"/>
      <c r="G192" s="68" t="n"/>
      <c r="H192" s="68" t="n"/>
      <c r="I192" s="68" t="n"/>
      <c r="J192" s="38">
        <f>IF(E192="","",LEFT(E192,6))</f>
        <v/>
      </c>
      <c r="K192" s="39">
        <f>IF(J192="","",IFERROR(INDEX(EXPENSES!$A$5:$A$126,MATCH(J192,EXPENSES!$L$5:$L$126,0)),""))</f>
        <v/>
      </c>
    </row>
    <row r="193">
      <c r="A193" s="12" t="n"/>
      <c r="B193" s="68" t="n"/>
      <c r="C193" s="68" t="n"/>
      <c r="D193" s="26" t="n"/>
      <c r="E193" s="68" t="n"/>
      <c r="F193" s="68" t="n"/>
      <c r="G193" s="68" t="n"/>
      <c r="H193" s="68" t="n"/>
      <c r="I193" s="68" t="n"/>
      <c r="J193" s="38">
        <f>IF(E193="","",LEFT(E193,6))</f>
        <v/>
      </c>
      <c r="K193" s="39">
        <f>IF(J193="","",IFERROR(INDEX(EXPENSES!$A$5:$A$126,MATCH(J193,EXPENSES!$L$5:$L$126,0)),""))</f>
        <v/>
      </c>
    </row>
    <row r="194">
      <c r="A194" s="12" t="n"/>
      <c r="B194" s="68" t="n"/>
      <c r="C194" s="68" t="n"/>
      <c r="D194" s="26" t="n"/>
      <c r="E194" s="68" t="n"/>
      <c r="F194" s="68" t="n"/>
      <c r="G194" s="68" t="n"/>
      <c r="H194" s="68" t="n"/>
      <c r="I194" s="68" t="n"/>
      <c r="J194" s="38">
        <f>IF(E194="","",LEFT(E194,6))</f>
        <v/>
      </c>
      <c r="K194" s="39">
        <f>IF(J194="","",IFERROR(INDEX(EXPENSES!$A$5:$A$126,MATCH(J194,EXPENSES!$L$5:$L$126,0)),""))</f>
        <v/>
      </c>
    </row>
    <row r="195">
      <c r="A195" s="12" t="n"/>
      <c r="B195" s="68" t="n"/>
      <c r="C195" s="68" t="n"/>
      <c r="D195" s="26" t="n"/>
      <c r="E195" s="68" t="n"/>
      <c r="F195" s="68" t="n"/>
      <c r="G195" s="68" t="n"/>
      <c r="H195" s="68" t="n"/>
      <c r="I195" s="68" t="n"/>
      <c r="J195" s="38">
        <f>IF(E195="","",LEFT(E195,6))</f>
        <v/>
      </c>
      <c r="K195" s="39">
        <f>IF(J195="","",IFERROR(INDEX(EXPENSES!$A$5:$A$126,MATCH(J195,EXPENSES!$L$5:$L$126,0)),""))</f>
        <v/>
      </c>
    </row>
    <row r="196">
      <c r="A196" s="12" t="n"/>
      <c r="B196" s="68" t="n"/>
      <c r="C196" s="68" t="n"/>
      <c r="D196" s="26" t="n"/>
      <c r="E196" s="68" t="n"/>
      <c r="F196" s="68" t="n"/>
      <c r="G196" s="68" t="n"/>
      <c r="H196" s="68" t="n"/>
      <c r="I196" s="68" t="n"/>
      <c r="J196" s="38">
        <f>IF(E196="","",LEFT(E196,6))</f>
        <v/>
      </c>
      <c r="K196" s="39">
        <f>IF(J196="","",IFERROR(INDEX(EXPENSES!$A$5:$A$126,MATCH(J196,EXPENSES!$L$5:$L$126,0)),""))</f>
        <v/>
      </c>
    </row>
    <row r="197">
      <c r="A197" s="12" t="n"/>
      <c r="B197" s="68" t="n"/>
      <c r="C197" s="68" t="n"/>
      <c r="D197" s="26" t="n"/>
      <c r="E197" s="68" t="n"/>
      <c r="F197" s="68" t="n"/>
      <c r="G197" s="68" t="n"/>
      <c r="H197" s="68" t="n"/>
      <c r="I197" s="68" t="n"/>
      <c r="J197" s="38">
        <f>IF(E197="","",LEFT(E197,6))</f>
        <v/>
      </c>
      <c r="K197" s="39">
        <f>IF(J197="","",IFERROR(INDEX(EXPENSES!$A$5:$A$126,MATCH(J197,EXPENSES!$L$5:$L$126,0)),""))</f>
        <v/>
      </c>
    </row>
    <row r="198">
      <c r="A198" s="12" t="n"/>
      <c r="B198" s="68" t="n"/>
      <c r="C198" s="68" t="n"/>
      <c r="D198" s="26" t="n"/>
      <c r="E198" s="68" t="n"/>
      <c r="F198" s="68" t="n"/>
      <c r="G198" s="68" t="n"/>
      <c r="H198" s="68" t="n"/>
      <c r="I198" s="68" t="n"/>
      <c r="J198" s="38">
        <f>IF(E198="","",LEFT(E198,6))</f>
        <v/>
      </c>
      <c r="K198" s="39">
        <f>IF(J198="","",IFERROR(INDEX(EXPENSES!$A$5:$A$126,MATCH(J198,EXPENSES!$L$5:$L$126,0)),""))</f>
        <v/>
      </c>
    </row>
    <row r="199">
      <c r="A199" s="12" t="n"/>
      <c r="B199" s="68" t="n"/>
      <c r="C199" s="68" t="n"/>
      <c r="D199" s="26" t="n"/>
      <c r="E199" s="68" t="n"/>
      <c r="F199" s="68" t="n"/>
      <c r="G199" s="68" t="n"/>
      <c r="H199" s="68" t="n"/>
      <c r="I199" s="68" t="n"/>
      <c r="J199" s="38">
        <f>IF(E199="","",LEFT(E199,6))</f>
        <v/>
      </c>
      <c r="K199" s="39">
        <f>IF(J199="","",IFERROR(INDEX(EXPENSES!$A$5:$A$126,MATCH(J199,EXPENSES!$L$5:$L$126,0)),""))</f>
        <v/>
      </c>
    </row>
    <row r="200">
      <c r="A200" s="12" t="n"/>
      <c r="B200" s="68" t="n"/>
      <c r="C200" s="68" t="n"/>
      <c r="D200" s="26" t="n"/>
      <c r="E200" s="68" t="n"/>
      <c r="F200" s="68" t="n"/>
      <c r="G200" s="68" t="n"/>
      <c r="H200" s="68" t="n"/>
      <c r="I200" s="68" t="n"/>
      <c r="J200" s="38">
        <f>IF(E200="","",LEFT(E200,6))</f>
        <v/>
      </c>
      <c r="K200" s="39">
        <f>IF(J200="","",IFERROR(INDEX(EXPENSES!$A$5:$A$126,MATCH(J200,EXPENSES!$L$5:$L$126,0)),""))</f>
        <v/>
      </c>
    </row>
    <row r="201">
      <c r="A201" s="12" t="n"/>
      <c r="B201" s="68" t="n"/>
      <c r="C201" s="68" t="n"/>
      <c r="D201" s="26" t="n"/>
      <c r="E201" s="68" t="n"/>
      <c r="F201" s="68" t="n"/>
      <c r="G201" s="68" t="n"/>
      <c r="H201" s="68" t="n"/>
      <c r="I201" s="68" t="n"/>
      <c r="J201" s="38">
        <f>IF(E201="","",LEFT(E201,6))</f>
        <v/>
      </c>
      <c r="K201" s="39">
        <f>IF(J201="","",IFERROR(INDEX(EXPENSES!$A$5:$A$126,MATCH(J201,EXPENSES!$L$5:$L$126,0)),""))</f>
        <v/>
      </c>
    </row>
    <row r="202">
      <c r="A202" s="12" t="n"/>
      <c r="B202" s="68" t="n"/>
      <c r="C202" s="68" t="n"/>
      <c r="D202" s="26" t="n"/>
      <c r="E202" s="68" t="n"/>
      <c r="F202" s="68" t="n"/>
      <c r="G202" s="68" t="n"/>
      <c r="H202" s="68" t="n"/>
      <c r="I202" s="68" t="n"/>
      <c r="J202" s="38">
        <f>IF(E202="","",LEFT(E202,6))</f>
        <v/>
      </c>
      <c r="K202" s="39">
        <f>IF(J202="","",IFERROR(INDEX(EXPENSES!$A$5:$A$126,MATCH(J202,EXPENSES!$L$5:$L$126,0)),""))</f>
        <v/>
      </c>
    </row>
    <row r="203">
      <c r="A203" s="12" t="n"/>
      <c r="B203" s="68" t="n"/>
      <c r="C203" s="68" t="n"/>
      <c r="D203" s="26" t="n"/>
      <c r="E203" s="68" t="n"/>
      <c r="F203" s="68" t="n"/>
      <c r="G203" s="68" t="n"/>
      <c r="H203" s="68" t="n"/>
      <c r="I203" s="68" t="n"/>
      <c r="J203" s="38">
        <f>IF(E203="","",LEFT(E203,6))</f>
        <v/>
      </c>
      <c r="K203" s="39">
        <f>IF(J203="","",IFERROR(INDEX(EXPENSES!$A$5:$A$126,MATCH(J203,EXPENSES!$L$5:$L$126,0)),""))</f>
        <v/>
      </c>
    </row>
    <row r="204">
      <c r="A204" s="12" t="n"/>
      <c r="B204" s="68" t="n"/>
      <c r="C204" s="68" t="n"/>
      <c r="D204" s="26" t="n"/>
      <c r="E204" s="68" t="n"/>
      <c r="F204" s="68" t="n"/>
      <c r="G204" s="68" t="n"/>
      <c r="H204" s="68" t="n"/>
      <c r="I204" s="68" t="n"/>
      <c r="J204" s="38">
        <f>IF(E204="","",LEFT(E204,6))</f>
        <v/>
      </c>
      <c r="K204" s="39">
        <f>IF(J204="","",IFERROR(INDEX(EXPENSES!$A$5:$A$126,MATCH(J204,EXPENSES!$L$5:$L$126,0)),""))</f>
        <v/>
      </c>
    </row>
    <row r="205">
      <c r="A205" s="12" t="n"/>
      <c r="B205" s="68" t="n"/>
      <c r="C205" s="68" t="n"/>
      <c r="D205" s="26" t="n"/>
      <c r="E205" s="68" t="n"/>
      <c r="F205" s="68" t="n"/>
      <c r="G205" s="68" t="n"/>
      <c r="H205" s="68" t="n"/>
      <c r="I205" s="68" t="n"/>
      <c r="J205" s="38">
        <f>IF(E205="","",LEFT(E205,6))</f>
        <v/>
      </c>
      <c r="K205" s="39">
        <f>IF(J205="","",IFERROR(INDEX(EXPENSES!$A$5:$A$126,MATCH(J205,EXPENSES!$L$5:$L$126,0)),""))</f>
        <v/>
      </c>
    </row>
    <row r="206">
      <c r="A206" s="12" t="n"/>
      <c r="B206" s="68" t="n"/>
      <c r="C206" s="68" t="n"/>
      <c r="D206" s="26" t="n"/>
      <c r="E206" s="68" t="n"/>
      <c r="F206" s="68" t="n"/>
      <c r="G206" s="68" t="n"/>
      <c r="H206" s="68" t="n"/>
      <c r="I206" s="68" t="n"/>
      <c r="J206" s="38">
        <f>IF(E206="","",LEFT(E206,6))</f>
        <v/>
      </c>
      <c r="K206" s="39">
        <f>IF(J206="","",IFERROR(INDEX(EXPENSES!$A$5:$A$126,MATCH(J206,EXPENSES!$L$5:$L$126,0)),""))</f>
        <v/>
      </c>
    </row>
    <row r="207">
      <c r="A207" s="12" t="n"/>
      <c r="B207" s="68" t="n"/>
      <c r="C207" s="68" t="n"/>
      <c r="D207" s="26" t="n"/>
      <c r="E207" s="68" t="n"/>
      <c r="F207" s="68" t="n"/>
      <c r="G207" s="68" t="n"/>
      <c r="H207" s="68" t="n"/>
      <c r="I207" s="68" t="n"/>
      <c r="J207" s="38">
        <f>IF(E207="","",LEFT(E207,6))</f>
        <v/>
      </c>
      <c r="K207" s="39">
        <f>IF(J207="","",IFERROR(INDEX(EXPENSES!$A$5:$A$126,MATCH(J207,EXPENSES!$L$5:$L$126,0)),""))</f>
        <v/>
      </c>
    </row>
    <row r="208">
      <c r="A208" s="12" t="n"/>
      <c r="B208" s="68" t="n"/>
      <c r="C208" s="68" t="n"/>
      <c r="D208" s="26" t="n"/>
      <c r="E208" s="68" t="n"/>
      <c r="F208" s="68" t="n"/>
      <c r="G208" s="68" t="n"/>
      <c r="H208" s="68" t="n"/>
      <c r="I208" s="68" t="n"/>
      <c r="J208" s="38">
        <f>IF(E208="","",LEFT(E208,6))</f>
        <v/>
      </c>
      <c r="K208" s="39">
        <f>IF(J208="","",IFERROR(INDEX(EXPENSES!$A$5:$A$126,MATCH(J208,EXPENSES!$L$5:$L$126,0)),""))</f>
        <v/>
      </c>
    </row>
    <row r="209">
      <c r="A209" s="12" t="n"/>
      <c r="B209" s="68" t="n"/>
      <c r="C209" s="68" t="n"/>
      <c r="D209" s="26" t="n"/>
      <c r="E209" s="68" t="n"/>
      <c r="F209" s="68" t="n"/>
      <c r="G209" s="68" t="n"/>
      <c r="H209" s="68" t="n"/>
      <c r="I209" s="68" t="n"/>
      <c r="J209" s="38">
        <f>IF(E209="","",LEFT(E209,6))</f>
        <v/>
      </c>
      <c r="K209" s="39">
        <f>IF(J209="","",IFERROR(INDEX(EXPENSES!$A$5:$A$126,MATCH(J209,EXPENSES!$L$5:$L$126,0)),""))</f>
        <v/>
      </c>
    </row>
    <row r="210">
      <c r="A210" s="12" t="n"/>
      <c r="B210" s="68" t="n"/>
      <c r="C210" s="68" t="n"/>
      <c r="D210" s="26" t="n"/>
      <c r="E210" s="68" t="n"/>
      <c r="F210" s="68" t="n"/>
      <c r="G210" s="68" t="n"/>
      <c r="H210" s="68" t="n"/>
      <c r="I210" s="68" t="n"/>
      <c r="J210" s="38">
        <f>IF(E210="","",LEFT(E210,6))</f>
        <v/>
      </c>
      <c r="K210" s="39">
        <f>IF(J210="","",IFERROR(INDEX(EXPENSES!$A$5:$A$126,MATCH(J210,EXPENSES!$L$5:$L$126,0)),""))</f>
        <v/>
      </c>
    </row>
    <row r="211">
      <c r="A211" s="12" t="n"/>
      <c r="B211" s="68" t="n"/>
      <c r="C211" s="68" t="n"/>
      <c r="D211" s="26" t="n"/>
      <c r="E211" s="68" t="n"/>
      <c r="F211" s="68" t="n"/>
      <c r="G211" s="68" t="n"/>
      <c r="H211" s="68" t="n"/>
      <c r="I211" s="68" t="n"/>
      <c r="J211" s="38">
        <f>IF(E211="","",LEFT(E211,6))</f>
        <v/>
      </c>
      <c r="K211" s="39">
        <f>IF(J211="","",IFERROR(INDEX(EXPENSES!$A$5:$A$126,MATCH(J211,EXPENSES!$L$5:$L$126,0)),""))</f>
        <v/>
      </c>
    </row>
    <row r="212">
      <c r="A212" s="12" t="n"/>
      <c r="B212" s="68" t="n"/>
      <c r="C212" s="68" t="n"/>
      <c r="D212" s="26" t="n"/>
      <c r="E212" s="68" t="n"/>
      <c r="F212" s="68" t="n"/>
      <c r="G212" s="68" t="n"/>
      <c r="H212" s="68" t="n"/>
      <c r="I212" s="68" t="n"/>
      <c r="J212" s="38">
        <f>IF(E212="","",LEFT(E212,6))</f>
        <v/>
      </c>
      <c r="K212" s="39">
        <f>IF(J212="","",IFERROR(INDEX(EXPENSES!$A$5:$A$126,MATCH(J212,EXPENSES!$L$5:$L$126,0)),""))</f>
        <v/>
      </c>
    </row>
    <row r="213">
      <c r="A213" s="12" t="n"/>
      <c r="B213" s="68" t="n"/>
      <c r="C213" s="68" t="n"/>
      <c r="D213" s="26" t="n"/>
      <c r="E213" s="68" t="n"/>
      <c r="F213" s="68" t="n"/>
      <c r="G213" s="68" t="n"/>
      <c r="H213" s="68" t="n"/>
      <c r="I213" s="68" t="n"/>
      <c r="J213" s="38">
        <f>IF(E213="","",LEFT(E213,6))</f>
        <v/>
      </c>
      <c r="K213" s="39">
        <f>IF(J213="","",IFERROR(INDEX(EXPENSES!$A$5:$A$126,MATCH(J213,EXPENSES!$L$5:$L$126,0)),""))</f>
        <v/>
      </c>
    </row>
    <row r="214">
      <c r="A214" s="12" t="n"/>
      <c r="B214" s="68" t="n"/>
      <c r="C214" s="68" t="n"/>
      <c r="D214" s="26" t="n"/>
      <c r="E214" s="68" t="n"/>
      <c r="F214" s="68" t="n"/>
      <c r="G214" s="68" t="n"/>
      <c r="H214" s="68" t="n"/>
      <c r="I214" s="68" t="n"/>
      <c r="J214" s="38">
        <f>IF(E214="","",LEFT(E214,6))</f>
        <v/>
      </c>
      <c r="K214" s="39">
        <f>IF(J214="","",IFERROR(INDEX(EXPENSES!$A$5:$A$126,MATCH(J214,EXPENSES!$L$5:$L$126,0)),""))</f>
        <v/>
      </c>
    </row>
    <row r="215">
      <c r="A215" s="12" t="n"/>
      <c r="B215" s="68" t="n"/>
      <c r="C215" s="68" t="n"/>
      <c r="D215" s="26" t="n"/>
      <c r="E215" s="68" t="n"/>
      <c r="F215" s="68" t="n"/>
      <c r="G215" s="68" t="n"/>
      <c r="H215" s="68" t="n"/>
      <c r="I215" s="68" t="n"/>
      <c r="J215" s="38">
        <f>IF(E215="","",LEFT(E215,6))</f>
        <v/>
      </c>
      <c r="K215" s="39">
        <f>IF(J215="","",IFERROR(INDEX(EXPENSES!$A$5:$A$126,MATCH(J215,EXPENSES!$L$5:$L$126,0)),""))</f>
        <v/>
      </c>
    </row>
    <row r="216">
      <c r="A216" s="12" t="n"/>
      <c r="B216" s="68" t="n"/>
      <c r="C216" s="68" t="n"/>
      <c r="D216" s="26" t="n"/>
      <c r="E216" s="68" t="n"/>
      <c r="F216" s="68" t="n"/>
      <c r="G216" s="68" t="n"/>
      <c r="H216" s="68" t="n"/>
      <c r="I216" s="68" t="n"/>
      <c r="J216" s="38">
        <f>IF(E216="","",LEFT(E216,6))</f>
        <v/>
      </c>
      <c r="K216" s="39">
        <f>IF(J216="","",IFERROR(INDEX(EXPENSES!$A$5:$A$126,MATCH(J216,EXPENSES!$L$5:$L$126,0)),""))</f>
        <v/>
      </c>
    </row>
    <row r="217">
      <c r="A217" s="12" t="n"/>
      <c r="B217" s="68" t="n"/>
      <c r="C217" s="68" t="n"/>
      <c r="D217" s="26" t="n"/>
      <c r="E217" s="68" t="n"/>
      <c r="F217" s="68" t="n"/>
      <c r="G217" s="68" t="n"/>
      <c r="H217" s="68" t="n"/>
      <c r="I217" s="68" t="n"/>
      <c r="J217" s="38">
        <f>IF(E217="","",LEFT(E217,6))</f>
        <v/>
      </c>
      <c r="K217" s="39">
        <f>IF(J217="","",IFERROR(INDEX(EXPENSES!$A$5:$A$126,MATCH(J217,EXPENSES!$L$5:$L$126,0)),""))</f>
        <v/>
      </c>
    </row>
    <row r="218">
      <c r="A218" s="12" t="n"/>
      <c r="B218" s="68" t="n"/>
      <c r="C218" s="68" t="n"/>
      <c r="D218" s="26" t="n"/>
      <c r="E218" s="68" t="n"/>
      <c r="F218" s="68" t="n"/>
      <c r="G218" s="68" t="n"/>
      <c r="H218" s="68" t="n"/>
      <c r="I218" s="68" t="n"/>
      <c r="J218" s="38">
        <f>IF(E218="","",LEFT(E218,6))</f>
        <v/>
      </c>
      <c r="K218" s="39">
        <f>IF(J218="","",IFERROR(INDEX(EXPENSES!$A$5:$A$126,MATCH(J218,EXPENSES!$L$5:$L$126,0)),""))</f>
        <v/>
      </c>
    </row>
    <row r="219">
      <c r="A219" s="12" t="n"/>
      <c r="B219" s="68" t="n"/>
      <c r="C219" s="68" t="n"/>
      <c r="D219" s="26" t="n"/>
      <c r="E219" s="68" t="n"/>
      <c r="F219" s="68" t="n"/>
      <c r="G219" s="68" t="n"/>
      <c r="H219" s="68" t="n"/>
      <c r="I219" s="68" t="n"/>
      <c r="J219" s="38">
        <f>IF(E219="","",LEFT(E219,6))</f>
        <v/>
      </c>
      <c r="K219" s="39">
        <f>IF(J219="","",IFERROR(INDEX(EXPENSES!$A$5:$A$126,MATCH(J219,EXPENSES!$L$5:$L$126,0)),""))</f>
        <v/>
      </c>
    </row>
    <row r="220">
      <c r="A220" s="12" t="n"/>
      <c r="B220" s="68" t="n"/>
      <c r="C220" s="68" t="n"/>
      <c r="D220" s="26" t="n"/>
      <c r="E220" s="68" t="n"/>
      <c r="F220" s="68" t="n"/>
      <c r="G220" s="68" t="n"/>
      <c r="H220" s="68" t="n"/>
      <c r="I220" s="68" t="n"/>
      <c r="J220" s="38">
        <f>IF(E220="","",LEFT(E220,6))</f>
        <v/>
      </c>
      <c r="K220" s="39">
        <f>IF(J220="","",IFERROR(INDEX(EXPENSES!$A$5:$A$126,MATCH(J220,EXPENSES!$L$5:$L$126,0)),""))</f>
        <v/>
      </c>
    </row>
    <row r="221">
      <c r="A221" s="12" t="n"/>
      <c r="B221" s="68" t="n"/>
      <c r="C221" s="68" t="n"/>
      <c r="D221" s="26" t="n"/>
      <c r="E221" s="68" t="n"/>
      <c r="F221" s="68" t="n"/>
      <c r="G221" s="68" t="n"/>
      <c r="H221" s="68" t="n"/>
      <c r="I221" s="68" t="n"/>
      <c r="J221" s="38">
        <f>IF(E221="","",LEFT(E221,6))</f>
        <v/>
      </c>
      <c r="K221" s="39">
        <f>IF(J221="","",IFERROR(INDEX(EXPENSES!$A$5:$A$126,MATCH(J221,EXPENSES!$L$5:$L$126,0)),""))</f>
        <v/>
      </c>
    </row>
    <row r="222">
      <c r="A222" s="12" t="n"/>
      <c r="B222" s="68" t="n"/>
      <c r="C222" s="68" t="n"/>
      <c r="D222" s="26" t="n"/>
      <c r="E222" s="68" t="n"/>
      <c r="F222" s="68" t="n"/>
      <c r="G222" s="68" t="n"/>
      <c r="H222" s="68" t="n"/>
      <c r="I222" s="68" t="n"/>
      <c r="J222" s="38">
        <f>IF(E222="","",LEFT(E222,6))</f>
        <v/>
      </c>
      <c r="K222" s="39">
        <f>IF(J222="","",IFERROR(INDEX(EXPENSES!$A$5:$A$126,MATCH(J222,EXPENSES!$L$5:$L$126,0)),""))</f>
        <v/>
      </c>
    </row>
    <row r="223">
      <c r="A223" s="12" t="n"/>
      <c r="B223" s="68" t="n"/>
      <c r="C223" s="68" t="n"/>
      <c r="D223" s="26" t="n"/>
      <c r="E223" s="68" t="n"/>
      <c r="F223" s="68" t="n"/>
      <c r="G223" s="68" t="n"/>
      <c r="H223" s="68" t="n"/>
      <c r="I223" s="68" t="n"/>
      <c r="J223" s="38">
        <f>IF(E223="","",LEFT(E223,6))</f>
        <v/>
      </c>
      <c r="K223" s="39">
        <f>IF(J223="","",IFERROR(INDEX(EXPENSES!$A$5:$A$126,MATCH(J223,EXPENSES!$L$5:$L$126,0)),""))</f>
        <v/>
      </c>
    </row>
    <row r="224">
      <c r="A224" s="12" t="n"/>
      <c r="B224" s="68" t="n"/>
      <c r="C224" s="68" t="n"/>
      <c r="D224" s="26" t="n"/>
      <c r="E224" s="68" t="n"/>
      <c r="F224" s="68" t="n"/>
      <c r="G224" s="68" t="n"/>
      <c r="H224" s="68" t="n"/>
      <c r="I224" s="68" t="n"/>
      <c r="J224" s="38">
        <f>IF(E224="","",LEFT(E224,6))</f>
        <v/>
      </c>
      <c r="K224" s="39">
        <f>IF(J224="","",IFERROR(INDEX(EXPENSES!$A$5:$A$126,MATCH(J224,EXPENSES!$L$5:$L$126,0)),""))</f>
        <v/>
      </c>
    </row>
    <row r="225">
      <c r="A225" s="12" t="n"/>
      <c r="B225" s="68" t="n"/>
      <c r="C225" s="68" t="n"/>
      <c r="D225" s="26" t="n"/>
      <c r="E225" s="68" t="n"/>
      <c r="F225" s="68" t="n"/>
      <c r="G225" s="68" t="n"/>
      <c r="H225" s="68" t="n"/>
      <c r="I225" s="68" t="n"/>
      <c r="J225" s="38">
        <f>IF(E225="","",LEFT(E225,6))</f>
        <v/>
      </c>
      <c r="K225" s="39">
        <f>IF(J225="","",IFERROR(INDEX(EXPENSES!$A$5:$A$126,MATCH(J225,EXPENSES!$L$5:$L$126,0)),""))</f>
        <v/>
      </c>
    </row>
    <row r="226">
      <c r="A226" s="12" t="n"/>
      <c r="B226" s="68" t="n"/>
      <c r="C226" s="68" t="n"/>
      <c r="D226" s="26" t="n"/>
      <c r="E226" s="68" t="n"/>
      <c r="F226" s="68" t="n"/>
      <c r="G226" s="68" t="n"/>
      <c r="H226" s="68" t="n"/>
      <c r="I226" s="68" t="n"/>
      <c r="J226" s="38">
        <f>IF(E226="","",LEFT(E226,6))</f>
        <v/>
      </c>
      <c r="K226" s="39">
        <f>IF(J226="","",IFERROR(INDEX(EXPENSES!$A$5:$A$126,MATCH(J226,EXPENSES!$L$5:$L$126,0)),""))</f>
        <v/>
      </c>
    </row>
    <row r="227">
      <c r="A227" s="12" t="n"/>
      <c r="B227" s="68" t="n"/>
      <c r="C227" s="68" t="n"/>
      <c r="D227" s="26" t="n"/>
      <c r="E227" s="68" t="n"/>
      <c r="F227" s="68" t="n"/>
      <c r="G227" s="68" t="n"/>
      <c r="H227" s="68" t="n"/>
      <c r="I227" s="68" t="n"/>
      <c r="J227" s="38">
        <f>IF(E227="","",LEFT(E227,6))</f>
        <v/>
      </c>
      <c r="K227" s="39">
        <f>IF(J227="","",IFERROR(INDEX(EXPENSES!$A$5:$A$126,MATCH(J227,EXPENSES!$L$5:$L$126,0)),""))</f>
        <v/>
      </c>
    </row>
    <row r="228">
      <c r="A228" s="12" t="n"/>
      <c r="B228" s="68" t="n"/>
      <c r="C228" s="68" t="n"/>
      <c r="D228" s="26" t="n"/>
      <c r="E228" s="68" t="n"/>
      <c r="F228" s="68" t="n"/>
      <c r="G228" s="68" t="n"/>
      <c r="H228" s="68" t="n"/>
      <c r="I228" s="68" t="n"/>
      <c r="J228" s="38">
        <f>IF(E228="","",LEFT(E228,6))</f>
        <v/>
      </c>
      <c r="K228" s="39">
        <f>IF(J228="","",IFERROR(INDEX(EXPENSES!$A$5:$A$126,MATCH(J228,EXPENSES!$L$5:$L$126,0)),""))</f>
        <v/>
      </c>
    </row>
    <row r="229">
      <c r="A229" s="12" t="n"/>
      <c r="B229" s="68" t="n"/>
      <c r="C229" s="68" t="n"/>
      <c r="D229" s="26" t="n"/>
      <c r="E229" s="68" t="n"/>
      <c r="F229" s="68" t="n"/>
      <c r="G229" s="68" t="n"/>
      <c r="H229" s="68" t="n"/>
      <c r="I229" s="68" t="n"/>
      <c r="J229" s="38">
        <f>IF(E229="","",LEFT(E229,6))</f>
        <v/>
      </c>
      <c r="K229" s="39">
        <f>IF(J229="","",IFERROR(INDEX(EXPENSES!$A$5:$A$126,MATCH(J229,EXPENSES!$L$5:$L$126,0)),""))</f>
        <v/>
      </c>
    </row>
    <row r="230">
      <c r="A230" s="12" t="n"/>
      <c r="B230" s="68" t="n"/>
      <c r="C230" s="68" t="n"/>
      <c r="D230" s="26" t="n"/>
      <c r="E230" s="68" t="n"/>
      <c r="F230" s="68" t="n"/>
      <c r="G230" s="68" t="n"/>
      <c r="H230" s="68" t="n"/>
      <c r="I230" s="68" t="n"/>
      <c r="J230" s="38">
        <f>IF(E230="","",LEFT(E230,6))</f>
        <v/>
      </c>
      <c r="K230" s="39">
        <f>IF(J230="","",IFERROR(INDEX(EXPENSES!$A$5:$A$126,MATCH(J230,EXPENSES!$L$5:$L$126,0)),""))</f>
        <v/>
      </c>
    </row>
    <row r="231">
      <c r="A231" s="12" t="n"/>
      <c r="B231" s="68" t="n"/>
      <c r="C231" s="68" t="n"/>
      <c r="D231" s="26" t="n"/>
      <c r="E231" s="68" t="n"/>
      <c r="F231" s="68" t="n"/>
      <c r="G231" s="68" t="n"/>
      <c r="H231" s="68" t="n"/>
      <c r="I231" s="68" t="n"/>
      <c r="J231" s="38">
        <f>IF(E231="","",LEFT(E231,6))</f>
        <v/>
      </c>
      <c r="K231" s="39">
        <f>IF(J231="","",IFERROR(INDEX(EXPENSES!$A$5:$A$126,MATCH(J231,EXPENSES!$L$5:$L$126,0)),""))</f>
        <v/>
      </c>
    </row>
    <row r="232">
      <c r="A232" s="12" t="n"/>
      <c r="B232" s="68" t="n"/>
      <c r="C232" s="68" t="n"/>
      <c r="D232" s="26" t="n"/>
      <c r="E232" s="68" t="n"/>
      <c r="F232" s="68" t="n"/>
      <c r="G232" s="68" t="n"/>
      <c r="H232" s="68" t="n"/>
      <c r="I232" s="68" t="n"/>
      <c r="J232" s="38">
        <f>IF(E232="","",LEFT(E232,6))</f>
        <v/>
      </c>
      <c r="K232" s="39">
        <f>IF(J232="","",IFERROR(INDEX(EXPENSES!$A$5:$A$126,MATCH(J232,EXPENSES!$L$5:$L$126,0)),""))</f>
        <v/>
      </c>
    </row>
    <row r="233">
      <c r="A233" s="12" t="n"/>
      <c r="B233" s="68" t="n"/>
      <c r="C233" s="68" t="n"/>
      <c r="D233" s="26" t="n"/>
      <c r="E233" s="68" t="n"/>
      <c r="F233" s="68" t="n"/>
      <c r="G233" s="68" t="n"/>
      <c r="H233" s="68" t="n"/>
      <c r="I233" s="68" t="n"/>
      <c r="J233" s="38">
        <f>IF(E233="","",LEFT(E233,6))</f>
        <v/>
      </c>
      <c r="K233" s="39">
        <f>IF(J233="","",IFERROR(INDEX(EXPENSES!$A$5:$A$126,MATCH(J233,EXPENSES!$L$5:$L$126,0)),""))</f>
        <v/>
      </c>
    </row>
    <row r="234">
      <c r="A234" s="12" t="n"/>
      <c r="B234" s="68" t="n"/>
      <c r="C234" s="68" t="n"/>
      <c r="D234" s="26" t="n"/>
      <c r="E234" s="68" t="n"/>
      <c r="F234" s="68" t="n"/>
      <c r="G234" s="68" t="n"/>
      <c r="H234" s="68" t="n"/>
      <c r="I234" s="68" t="n"/>
      <c r="J234" s="38">
        <f>IF(E234="","",LEFT(E234,6))</f>
        <v/>
      </c>
      <c r="K234" s="39">
        <f>IF(J234="","",IFERROR(INDEX(EXPENSES!$A$5:$A$126,MATCH(J234,EXPENSES!$L$5:$L$126,0)),""))</f>
        <v/>
      </c>
    </row>
    <row r="235">
      <c r="A235" s="12" t="n"/>
      <c r="B235" s="68" t="n"/>
      <c r="C235" s="68" t="n"/>
      <c r="D235" s="26" t="n"/>
      <c r="E235" s="68" t="n"/>
      <c r="F235" s="68" t="n"/>
      <c r="G235" s="68" t="n"/>
      <c r="H235" s="68" t="n"/>
      <c r="I235" s="68" t="n"/>
      <c r="J235" s="38">
        <f>IF(E235="","",LEFT(E235,6))</f>
        <v/>
      </c>
      <c r="K235" s="39">
        <f>IF(J235="","",IFERROR(INDEX(EXPENSES!$A$5:$A$126,MATCH(J235,EXPENSES!$L$5:$L$126,0)),""))</f>
        <v/>
      </c>
    </row>
    <row r="236">
      <c r="A236" s="12" t="n"/>
      <c r="B236" s="68" t="n"/>
      <c r="C236" s="68" t="n"/>
      <c r="D236" s="26" t="n"/>
      <c r="E236" s="68" t="n"/>
      <c r="F236" s="68" t="n"/>
      <c r="G236" s="68" t="n"/>
      <c r="H236" s="68" t="n"/>
      <c r="I236" s="68" t="n"/>
      <c r="J236" s="38">
        <f>IF(E236="","",LEFT(E236,6))</f>
        <v/>
      </c>
      <c r="K236" s="39">
        <f>IF(J236="","",IFERROR(INDEX(EXPENSES!$A$5:$A$126,MATCH(J236,EXPENSES!$L$5:$L$126,0)),""))</f>
        <v/>
      </c>
    </row>
    <row r="237">
      <c r="A237" s="12" t="n"/>
      <c r="B237" s="68" t="n"/>
      <c r="C237" s="68" t="n"/>
      <c r="D237" s="26" t="n"/>
      <c r="E237" s="68" t="n"/>
      <c r="F237" s="68" t="n"/>
      <c r="G237" s="68" t="n"/>
      <c r="H237" s="68" t="n"/>
      <c r="I237" s="68" t="n"/>
      <c r="J237" s="38">
        <f>IF(E237="","",LEFT(E237,6))</f>
        <v/>
      </c>
      <c r="K237" s="39">
        <f>IF(J237="","",IFERROR(INDEX(EXPENSES!$A$5:$A$126,MATCH(J237,EXPENSES!$L$5:$L$126,0)),""))</f>
        <v/>
      </c>
    </row>
    <row r="238">
      <c r="A238" s="12" t="n"/>
      <c r="B238" s="68" t="n"/>
      <c r="C238" s="68" t="n"/>
      <c r="D238" s="26" t="n"/>
      <c r="E238" s="68" t="n"/>
      <c r="F238" s="68" t="n"/>
      <c r="G238" s="68" t="n"/>
      <c r="H238" s="68" t="n"/>
      <c r="I238" s="68" t="n"/>
      <c r="J238" s="38">
        <f>IF(E238="","",LEFT(E238,6))</f>
        <v/>
      </c>
      <c r="K238" s="39">
        <f>IF(J238="","",IFERROR(INDEX(EXPENSES!$A$5:$A$126,MATCH(J238,EXPENSES!$L$5:$L$126,0)),""))</f>
        <v/>
      </c>
    </row>
    <row r="239">
      <c r="A239" s="12" t="n"/>
      <c r="B239" s="68" t="n"/>
      <c r="C239" s="68" t="n"/>
      <c r="D239" s="26" t="n"/>
      <c r="E239" s="68" t="n"/>
      <c r="F239" s="68" t="n"/>
      <c r="G239" s="68" t="n"/>
      <c r="H239" s="68" t="n"/>
      <c r="I239" s="68" t="n"/>
      <c r="J239" s="38">
        <f>IF(E239="","",LEFT(E239,6))</f>
        <v/>
      </c>
      <c r="K239" s="39">
        <f>IF(J239="","",IFERROR(INDEX(EXPENSES!$A$5:$A$126,MATCH(J239,EXPENSES!$L$5:$L$126,0)),""))</f>
        <v/>
      </c>
    </row>
    <row r="240">
      <c r="A240" s="12" t="n"/>
      <c r="B240" s="68" t="n"/>
      <c r="C240" s="68" t="n"/>
      <c r="D240" s="26" t="n"/>
      <c r="E240" s="68" t="n"/>
      <c r="F240" s="68" t="n"/>
      <c r="G240" s="68" t="n"/>
      <c r="H240" s="68" t="n"/>
      <c r="I240" s="68" t="n"/>
      <c r="J240" s="38">
        <f>IF(E240="","",LEFT(E240,6))</f>
        <v/>
      </c>
      <c r="K240" s="39">
        <f>IF(J240="","",IFERROR(INDEX(EXPENSES!$A$5:$A$126,MATCH(J240,EXPENSES!$L$5:$L$126,0)),""))</f>
        <v/>
      </c>
    </row>
    <row r="241">
      <c r="A241" s="12" t="n"/>
      <c r="B241" s="68" t="n"/>
      <c r="C241" s="68" t="n"/>
      <c r="D241" s="26" t="n"/>
      <c r="E241" s="68" t="n"/>
      <c r="F241" s="68" t="n"/>
      <c r="G241" s="68" t="n"/>
      <c r="H241" s="68" t="n"/>
      <c r="I241" s="68" t="n"/>
      <c r="J241" s="38">
        <f>IF(E241="","",LEFT(E241,6))</f>
        <v/>
      </c>
      <c r="K241" s="39">
        <f>IF(J241="","",IFERROR(INDEX(EXPENSES!$A$5:$A$126,MATCH(J241,EXPENSES!$L$5:$L$126,0)),""))</f>
        <v/>
      </c>
    </row>
    <row r="242">
      <c r="A242" s="12" t="n"/>
      <c r="B242" s="68" t="n"/>
      <c r="C242" s="68" t="n"/>
      <c r="D242" s="26" t="n"/>
      <c r="E242" s="68" t="n"/>
      <c r="F242" s="68" t="n"/>
      <c r="G242" s="68" t="n"/>
      <c r="H242" s="68" t="n"/>
      <c r="I242" s="68" t="n"/>
      <c r="J242" s="38">
        <f>IF(E242="","",LEFT(E242,6))</f>
        <v/>
      </c>
      <c r="K242" s="39">
        <f>IF(J242="","",IFERROR(INDEX(EXPENSES!$A$5:$A$126,MATCH(J242,EXPENSES!$L$5:$L$126,0)),""))</f>
        <v/>
      </c>
    </row>
    <row r="243">
      <c r="A243" s="12" t="n"/>
      <c r="B243" s="68" t="n"/>
      <c r="C243" s="68" t="n"/>
      <c r="D243" s="26" t="n"/>
      <c r="E243" s="68" t="n"/>
      <c r="F243" s="68" t="n"/>
      <c r="G243" s="68" t="n"/>
      <c r="H243" s="68" t="n"/>
      <c r="I243" s="68" t="n"/>
      <c r="J243" s="38">
        <f>IF(E243="","",LEFT(E243,6))</f>
        <v/>
      </c>
      <c r="K243" s="39">
        <f>IF(J243="","",IFERROR(INDEX(EXPENSES!$A$5:$A$126,MATCH(J243,EXPENSES!$L$5:$L$126,0)),""))</f>
        <v/>
      </c>
    </row>
    <row r="244">
      <c r="A244" s="12" t="n"/>
      <c r="B244" s="68" t="n"/>
      <c r="C244" s="68" t="n"/>
      <c r="D244" s="26" t="n"/>
      <c r="E244" s="68" t="n"/>
      <c r="F244" s="68" t="n"/>
      <c r="G244" s="68" t="n"/>
      <c r="H244" s="68" t="n"/>
      <c r="I244" s="68" t="n"/>
      <c r="J244" s="38">
        <f>IF(E244="","",LEFT(E244,6))</f>
        <v/>
      </c>
      <c r="K244" s="39">
        <f>IF(J244="","",IFERROR(INDEX(EXPENSES!$A$5:$A$126,MATCH(J244,EXPENSES!$L$5:$L$126,0)),""))</f>
        <v/>
      </c>
    </row>
    <row r="245">
      <c r="A245" s="12" t="n"/>
      <c r="B245" s="68" t="n"/>
      <c r="C245" s="68" t="n"/>
      <c r="D245" s="26" t="n"/>
      <c r="E245" s="68" t="n"/>
      <c r="F245" s="68" t="n"/>
      <c r="G245" s="68" t="n"/>
      <c r="H245" s="68" t="n"/>
      <c r="I245" s="68" t="n"/>
      <c r="J245" s="38">
        <f>IF(E245="","",LEFT(E245,6))</f>
        <v/>
      </c>
      <c r="K245" s="39">
        <f>IF(J245="","",IFERROR(INDEX(EXPENSES!$A$5:$A$126,MATCH(J245,EXPENSES!$L$5:$L$126,0)),""))</f>
        <v/>
      </c>
    </row>
    <row r="246">
      <c r="A246" s="12" t="n"/>
      <c r="B246" s="68" t="n"/>
      <c r="C246" s="68" t="n"/>
      <c r="D246" s="26" t="n"/>
      <c r="E246" s="68" t="n"/>
      <c r="F246" s="68" t="n"/>
      <c r="G246" s="68" t="n"/>
      <c r="H246" s="68" t="n"/>
      <c r="I246" s="68" t="n"/>
      <c r="J246" s="38">
        <f>IF(E246="","",LEFT(E246,6))</f>
        <v/>
      </c>
      <c r="K246" s="39">
        <f>IF(J246="","",IFERROR(INDEX(EXPENSES!$A$5:$A$126,MATCH(J246,EXPENSES!$L$5:$L$126,0)),""))</f>
        <v/>
      </c>
    </row>
    <row r="247">
      <c r="A247" s="12" t="n"/>
      <c r="B247" s="68" t="n"/>
      <c r="C247" s="68" t="n"/>
      <c r="D247" s="26" t="n"/>
      <c r="E247" s="68" t="n"/>
      <c r="F247" s="68" t="n"/>
      <c r="G247" s="68" t="n"/>
      <c r="H247" s="68" t="n"/>
      <c r="I247" s="68" t="n"/>
      <c r="J247" s="38">
        <f>IF(E247="","",LEFT(E247,6))</f>
        <v/>
      </c>
      <c r="K247" s="39">
        <f>IF(J247="","",IFERROR(INDEX(EXPENSES!$A$5:$A$126,MATCH(J247,EXPENSES!$L$5:$L$126,0)),""))</f>
        <v/>
      </c>
    </row>
    <row r="248">
      <c r="A248" s="12" t="n"/>
      <c r="B248" s="68" t="n"/>
      <c r="C248" s="68" t="n"/>
      <c r="D248" s="26" t="n"/>
      <c r="E248" s="68" t="n"/>
      <c r="F248" s="68" t="n"/>
      <c r="G248" s="68" t="n"/>
      <c r="H248" s="68" t="n"/>
      <c r="I248" s="68" t="n"/>
      <c r="J248" s="38">
        <f>IF(E248="","",LEFT(E248,6))</f>
        <v/>
      </c>
      <c r="K248" s="39">
        <f>IF(J248="","",IFERROR(INDEX(EXPENSES!$A$5:$A$126,MATCH(J248,EXPENSES!$L$5:$L$126,0)),""))</f>
        <v/>
      </c>
    </row>
    <row r="249">
      <c r="A249" s="12" t="n"/>
      <c r="B249" s="68" t="n"/>
      <c r="C249" s="68" t="n"/>
      <c r="D249" s="26" t="n"/>
      <c r="E249" s="68" t="n"/>
      <c r="F249" s="68" t="n"/>
      <c r="G249" s="68" t="n"/>
      <c r="H249" s="68" t="n"/>
      <c r="I249" s="68" t="n"/>
      <c r="J249" s="38">
        <f>IF(E249="","",LEFT(E249,6))</f>
        <v/>
      </c>
      <c r="K249" s="39">
        <f>IF(J249="","",IFERROR(INDEX(EXPENSES!$A$5:$A$126,MATCH(J249,EXPENSES!$L$5:$L$126,0)),""))</f>
        <v/>
      </c>
    </row>
    <row r="250">
      <c r="A250" s="12" t="n"/>
      <c r="B250" s="68" t="n"/>
      <c r="C250" s="68" t="n"/>
      <c r="D250" s="26" t="n"/>
      <c r="E250" s="68" t="n"/>
      <c r="F250" s="68" t="n"/>
      <c r="G250" s="68" t="n"/>
      <c r="H250" s="68" t="n"/>
      <c r="I250" s="68" t="n"/>
      <c r="J250" s="38">
        <f>IF(E250="","",LEFT(E250,6))</f>
        <v/>
      </c>
      <c r="K250" s="39">
        <f>IF(J250="","",IFERROR(INDEX(EXPENSES!$A$5:$A$126,MATCH(J250,EXPENSES!$L$5:$L$126,0)),""))</f>
        <v/>
      </c>
    </row>
    <row r="251">
      <c r="A251" s="12" t="n"/>
      <c r="B251" s="68" t="n"/>
      <c r="C251" s="68" t="n"/>
      <c r="D251" s="26" t="n"/>
      <c r="E251" s="68" t="n"/>
      <c r="F251" s="68" t="n"/>
      <c r="G251" s="68" t="n"/>
      <c r="H251" s="68" t="n"/>
      <c r="I251" s="68" t="n"/>
      <c r="J251" s="38">
        <f>IF(E251="","",LEFT(E251,6))</f>
        <v/>
      </c>
      <c r="K251" s="39">
        <f>IF(J251="","",IFERROR(INDEX(EXPENSES!$A$5:$A$126,MATCH(J251,EXPENSES!$L$5:$L$126,0)),""))</f>
        <v/>
      </c>
    </row>
    <row r="252">
      <c r="A252" s="12" t="n"/>
      <c r="B252" s="68" t="n"/>
      <c r="C252" s="68" t="n"/>
      <c r="D252" s="26" t="n"/>
      <c r="E252" s="68" t="n"/>
      <c r="F252" s="68" t="n"/>
      <c r="G252" s="68" t="n"/>
      <c r="H252" s="68" t="n"/>
      <c r="I252" s="68" t="n"/>
      <c r="J252" s="38">
        <f>IF(E252="","",LEFT(E252,6))</f>
        <v/>
      </c>
      <c r="K252" s="39">
        <f>IF(J252="","",IFERROR(INDEX(EXPENSES!$A$5:$A$126,MATCH(J252,EXPENSES!$L$5:$L$126,0)),""))</f>
        <v/>
      </c>
    </row>
    <row r="253">
      <c r="A253" s="12" t="n"/>
      <c r="B253" s="68" t="n"/>
      <c r="C253" s="68" t="n"/>
      <c r="D253" s="26" t="n"/>
      <c r="E253" s="68" t="n"/>
      <c r="F253" s="68" t="n"/>
      <c r="G253" s="68" t="n"/>
      <c r="H253" s="68" t="n"/>
      <c r="I253" s="68" t="n"/>
      <c r="J253" s="38">
        <f>IF(E253="","",LEFT(E253,6))</f>
        <v/>
      </c>
      <c r="K253" s="39">
        <f>IF(J253="","",IFERROR(INDEX(EXPENSES!$A$5:$A$126,MATCH(J253,EXPENSES!$L$5:$L$126,0)),""))</f>
        <v/>
      </c>
    </row>
    <row r="254">
      <c r="A254" s="12" t="n"/>
      <c r="B254" s="68" t="n"/>
      <c r="C254" s="68" t="n"/>
      <c r="D254" s="26" t="n"/>
      <c r="E254" s="68" t="n"/>
      <c r="F254" s="68" t="n"/>
      <c r="G254" s="68" t="n"/>
      <c r="H254" s="68" t="n"/>
      <c r="I254" s="68" t="n"/>
      <c r="J254" s="38">
        <f>IF(E254="","",LEFT(E254,6))</f>
        <v/>
      </c>
      <c r="K254" s="39">
        <f>IF(J254="","",IFERROR(INDEX(EXPENSES!$A$5:$A$126,MATCH(J254,EXPENSES!$L$5:$L$126,0)),""))</f>
        <v/>
      </c>
    </row>
    <row r="255">
      <c r="A255" s="12" t="n"/>
      <c r="B255" s="68" t="n"/>
      <c r="C255" s="68" t="n"/>
      <c r="D255" s="26" t="n"/>
      <c r="E255" s="68" t="n"/>
      <c r="F255" s="68" t="n"/>
      <c r="G255" s="68" t="n"/>
      <c r="H255" s="68" t="n"/>
      <c r="I255" s="68" t="n"/>
      <c r="J255" s="38">
        <f>IF(E255="","",LEFT(E255,6))</f>
        <v/>
      </c>
      <c r="K255" s="39">
        <f>IF(J255="","",IFERROR(INDEX(EXPENSES!$A$5:$A$126,MATCH(J255,EXPENSES!$L$5:$L$126,0)),""))</f>
        <v/>
      </c>
    </row>
    <row r="256">
      <c r="A256" s="12" t="n"/>
      <c r="B256" s="68" t="n"/>
      <c r="C256" s="68" t="n"/>
      <c r="D256" s="26" t="n"/>
      <c r="E256" s="68" t="n"/>
      <c r="F256" s="68" t="n"/>
      <c r="G256" s="68" t="n"/>
      <c r="H256" s="68" t="n"/>
      <c r="I256" s="68" t="n"/>
      <c r="J256" s="38">
        <f>IF(E256="","",LEFT(E256,6))</f>
        <v/>
      </c>
      <c r="K256" s="39">
        <f>IF(J256="","",IFERROR(INDEX(EXPENSES!$A$5:$A$126,MATCH(J256,EXPENSES!$L$5:$L$126,0)),""))</f>
        <v/>
      </c>
    </row>
    <row r="257">
      <c r="A257" s="12" t="n"/>
      <c r="B257" s="68" t="n"/>
      <c r="C257" s="68" t="n"/>
      <c r="D257" s="26" t="n"/>
      <c r="E257" s="68" t="n"/>
      <c r="F257" s="68" t="n"/>
      <c r="G257" s="68" t="n"/>
      <c r="H257" s="68" t="n"/>
      <c r="I257" s="68" t="n"/>
      <c r="J257" s="38">
        <f>IF(E257="","",LEFT(E257,6))</f>
        <v/>
      </c>
      <c r="K257" s="39">
        <f>IF(J257="","",IFERROR(INDEX(EXPENSES!$A$5:$A$126,MATCH(J257,EXPENSES!$L$5:$L$126,0)),""))</f>
        <v/>
      </c>
    </row>
    <row r="258">
      <c r="A258" s="12" t="n"/>
      <c r="B258" s="68" t="n"/>
      <c r="C258" s="68" t="n"/>
      <c r="D258" s="26" t="n"/>
      <c r="E258" s="68" t="n"/>
      <c r="F258" s="68" t="n"/>
      <c r="G258" s="68" t="n"/>
      <c r="H258" s="68" t="n"/>
      <c r="I258" s="68" t="n"/>
      <c r="J258" s="38">
        <f>IF(E258="","",LEFT(E258,6))</f>
        <v/>
      </c>
      <c r="K258" s="39">
        <f>IF(J258="","",IFERROR(INDEX(EXPENSES!$A$5:$A$126,MATCH(J258,EXPENSES!$L$5:$L$126,0)),""))</f>
        <v/>
      </c>
    </row>
    <row r="259">
      <c r="A259" s="12" t="n"/>
      <c r="B259" s="68" t="n"/>
      <c r="C259" s="68" t="n"/>
      <c r="D259" s="26" t="n"/>
      <c r="E259" s="68" t="n"/>
      <c r="F259" s="68" t="n"/>
      <c r="G259" s="68" t="n"/>
      <c r="H259" s="68" t="n"/>
      <c r="I259" s="68" t="n"/>
      <c r="J259" s="38">
        <f>IF(E259="","",LEFT(E259,6))</f>
        <v/>
      </c>
      <c r="K259" s="39">
        <f>IF(J259="","",IFERROR(INDEX(EXPENSES!$A$5:$A$126,MATCH(J259,EXPENSES!$L$5:$L$126,0)),""))</f>
        <v/>
      </c>
    </row>
    <row r="260">
      <c r="A260" s="12" t="n"/>
      <c r="B260" s="68" t="n"/>
      <c r="C260" s="68" t="n"/>
      <c r="D260" s="26" t="n"/>
      <c r="E260" s="68" t="n"/>
      <c r="F260" s="68" t="n"/>
      <c r="G260" s="68" t="n"/>
      <c r="H260" s="68" t="n"/>
      <c r="I260" s="68" t="n"/>
      <c r="J260" s="38">
        <f>IF(E260="","",LEFT(E260,6))</f>
        <v/>
      </c>
      <c r="K260" s="39">
        <f>IF(J260="","",IFERROR(INDEX(EXPENSES!$A$5:$A$126,MATCH(J260,EXPENSES!$L$5:$L$126,0)),""))</f>
        <v/>
      </c>
    </row>
    <row r="261">
      <c r="A261" s="12" t="n"/>
      <c r="B261" s="68" t="n"/>
      <c r="C261" s="68" t="n"/>
      <c r="D261" s="26" t="n"/>
      <c r="E261" s="68" t="n"/>
      <c r="F261" s="68" t="n"/>
      <c r="G261" s="68" t="n"/>
      <c r="H261" s="68" t="n"/>
      <c r="I261" s="68" t="n"/>
      <c r="J261" s="38">
        <f>IF(E261="","",LEFT(E261,6))</f>
        <v/>
      </c>
      <c r="K261" s="39">
        <f>IF(J261="","",IFERROR(INDEX(EXPENSES!$A$5:$A$126,MATCH(J261,EXPENSES!$L$5:$L$126,0)),""))</f>
        <v/>
      </c>
    </row>
    <row r="262">
      <c r="A262" s="12" t="n"/>
      <c r="B262" s="68" t="n"/>
      <c r="C262" s="68" t="n"/>
      <c r="D262" s="26" t="n"/>
      <c r="E262" s="68" t="n"/>
      <c r="F262" s="68" t="n"/>
      <c r="G262" s="68" t="n"/>
      <c r="H262" s="68" t="n"/>
      <c r="I262" s="68" t="n"/>
      <c r="J262" s="38">
        <f>IF(E262="","",LEFT(E262,6))</f>
        <v/>
      </c>
      <c r="K262" s="39">
        <f>IF(J262="","",IFERROR(INDEX(EXPENSES!$A$5:$A$126,MATCH(J262,EXPENSES!$L$5:$L$126,0)),""))</f>
        <v/>
      </c>
    </row>
    <row r="263">
      <c r="A263" s="12" t="n"/>
      <c r="B263" s="68" t="n"/>
      <c r="C263" s="68" t="n"/>
      <c r="D263" s="26" t="n"/>
      <c r="E263" s="68" t="n"/>
      <c r="F263" s="68" t="n"/>
      <c r="G263" s="68" t="n"/>
      <c r="H263" s="68" t="n"/>
      <c r="I263" s="68" t="n"/>
      <c r="J263" s="38">
        <f>IF(E263="","",LEFT(E263,6))</f>
        <v/>
      </c>
      <c r="K263" s="39">
        <f>IF(J263="","",IFERROR(INDEX(EXPENSES!$A$5:$A$126,MATCH(J263,EXPENSES!$L$5:$L$126,0)),""))</f>
        <v/>
      </c>
    </row>
    <row r="264">
      <c r="A264" s="12" t="n"/>
      <c r="B264" s="68" t="n"/>
      <c r="C264" s="68" t="n"/>
      <c r="D264" s="26" t="n"/>
      <c r="E264" s="68" t="n"/>
      <c r="F264" s="68" t="n"/>
      <c r="G264" s="68" t="n"/>
      <c r="H264" s="68" t="n"/>
      <c r="I264" s="68" t="n"/>
      <c r="J264" s="38">
        <f>IF(E264="","",LEFT(E264,6))</f>
        <v/>
      </c>
      <c r="K264" s="39">
        <f>IF(J264="","",IFERROR(INDEX(EXPENSES!$A$5:$A$126,MATCH(J264,EXPENSES!$L$5:$L$126,0)),""))</f>
        <v/>
      </c>
    </row>
    <row r="265">
      <c r="A265" s="12" t="n"/>
      <c r="B265" s="68" t="n"/>
      <c r="C265" s="68" t="n"/>
      <c r="D265" s="26" t="n"/>
      <c r="E265" s="68" t="n"/>
      <c r="F265" s="68" t="n"/>
      <c r="G265" s="68" t="n"/>
      <c r="H265" s="68" t="n"/>
      <c r="I265" s="68" t="n"/>
      <c r="J265" s="38">
        <f>IF(E265="","",LEFT(E265,6))</f>
        <v/>
      </c>
      <c r="K265" s="39">
        <f>IF(J265="","",IFERROR(INDEX(EXPENSES!$A$5:$A$126,MATCH(J265,EXPENSES!$L$5:$L$126,0)),""))</f>
        <v/>
      </c>
    </row>
    <row r="266">
      <c r="A266" s="12" t="n"/>
      <c r="B266" s="68" t="n"/>
      <c r="C266" s="68" t="n"/>
      <c r="D266" s="26" t="n"/>
      <c r="E266" s="68" t="n"/>
      <c r="F266" s="68" t="n"/>
      <c r="G266" s="68" t="n"/>
      <c r="H266" s="68" t="n"/>
      <c r="I266" s="68" t="n"/>
      <c r="J266" s="38">
        <f>IF(E266="","",LEFT(E266,6))</f>
        <v/>
      </c>
      <c r="K266" s="39">
        <f>IF(J266="","",IFERROR(INDEX(EXPENSES!$A$5:$A$126,MATCH(J266,EXPENSES!$L$5:$L$126,0)),""))</f>
        <v/>
      </c>
    </row>
    <row r="267">
      <c r="A267" s="12" t="n"/>
      <c r="B267" s="68" t="n"/>
      <c r="C267" s="68" t="n"/>
      <c r="D267" s="26" t="n"/>
      <c r="E267" s="68" t="n"/>
      <c r="F267" s="68" t="n"/>
      <c r="G267" s="68" t="n"/>
      <c r="H267" s="68" t="n"/>
      <c r="I267" s="68" t="n"/>
      <c r="J267" s="38">
        <f>IF(E267="","",LEFT(E267,6))</f>
        <v/>
      </c>
      <c r="K267" s="39">
        <f>IF(J267="","",IFERROR(INDEX(EXPENSES!$A$5:$A$126,MATCH(J267,EXPENSES!$L$5:$L$126,0)),""))</f>
        <v/>
      </c>
    </row>
    <row r="268">
      <c r="A268" s="12" t="n"/>
      <c r="B268" s="68" t="n"/>
      <c r="C268" s="68" t="n"/>
      <c r="D268" s="26" t="n"/>
      <c r="E268" s="68" t="n"/>
      <c r="F268" s="68" t="n"/>
      <c r="G268" s="68" t="n"/>
      <c r="H268" s="68" t="n"/>
      <c r="I268" s="68" t="n"/>
      <c r="J268" s="38">
        <f>IF(E268="","",LEFT(E268,6))</f>
        <v/>
      </c>
      <c r="K268" s="39">
        <f>IF(J268="","",IFERROR(INDEX(EXPENSES!$A$5:$A$126,MATCH(J268,EXPENSES!$L$5:$L$126,0)),""))</f>
        <v/>
      </c>
    </row>
    <row r="269">
      <c r="A269" s="12" t="n"/>
      <c r="B269" s="68" t="n"/>
      <c r="C269" s="68" t="n"/>
      <c r="D269" s="26" t="n"/>
      <c r="E269" s="68" t="n"/>
      <c r="F269" s="68" t="n"/>
      <c r="G269" s="68" t="n"/>
      <c r="H269" s="68" t="n"/>
      <c r="I269" s="68" t="n"/>
      <c r="J269" s="38">
        <f>IF(E269="","",LEFT(E269,6))</f>
        <v/>
      </c>
      <c r="K269" s="39">
        <f>IF(J269="","",IFERROR(INDEX(EXPENSES!$A$5:$A$126,MATCH(J269,EXPENSES!$L$5:$L$126,0)),""))</f>
        <v/>
      </c>
    </row>
    <row r="270">
      <c r="A270" s="12" t="n"/>
      <c r="B270" s="68" t="n"/>
      <c r="C270" s="68" t="n"/>
      <c r="D270" s="26" t="n"/>
      <c r="E270" s="68" t="n"/>
      <c r="F270" s="68" t="n"/>
      <c r="G270" s="68" t="n"/>
      <c r="H270" s="68" t="n"/>
      <c r="I270" s="68" t="n"/>
      <c r="J270" s="38">
        <f>IF(E270="","",LEFT(E270,6))</f>
        <v/>
      </c>
      <c r="K270" s="39">
        <f>IF(J270="","",IFERROR(INDEX(EXPENSES!$A$5:$A$126,MATCH(J270,EXPENSES!$L$5:$L$126,0)),""))</f>
        <v/>
      </c>
    </row>
    <row r="271">
      <c r="A271" s="12" t="n"/>
      <c r="B271" s="68" t="n"/>
      <c r="C271" s="68" t="n"/>
      <c r="D271" s="26" t="n"/>
      <c r="E271" s="68" t="n"/>
      <c r="F271" s="68" t="n"/>
      <c r="G271" s="68" t="n"/>
      <c r="H271" s="68" t="n"/>
      <c r="I271" s="68" t="n"/>
      <c r="J271" s="38">
        <f>IF(E271="","",LEFT(E271,6))</f>
        <v/>
      </c>
      <c r="K271" s="39">
        <f>IF(J271="","",IFERROR(INDEX(EXPENSES!$A$5:$A$126,MATCH(J271,EXPENSES!$L$5:$L$126,0)),""))</f>
        <v/>
      </c>
    </row>
    <row r="272">
      <c r="A272" s="12" t="n"/>
      <c r="B272" s="68" t="n"/>
      <c r="C272" s="68" t="n"/>
      <c r="D272" s="26" t="n"/>
      <c r="E272" s="68" t="n"/>
      <c r="F272" s="68" t="n"/>
      <c r="G272" s="68" t="n"/>
      <c r="H272" s="68" t="n"/>
      <c r="I272" s="68" t="n"/>
      <c r="J272" s="38">
        <f>IF(E272="","",LEFT(E272,6))</f>
        <v/>
      </c>
      <c r="K272" s="39">
        <f>IF(J272="","",IFERROR(INDEX(EXPENSES!$A$5:$A$126,MATCH(J272,EXPENSES!$L$5:$L$126,0)),""))</f>
        <v/>
      </c>
    </row>
    <row r="273">
      <c r="A273" s="12" t="n"/>
      <c r="B273" s="68" t="n"/>
      <c r="C273" s="68" t="n"/>
      <c r="D273" s="26" t="n"/>
      <c r="E273" s="68" t="n"/>
      <c r="F273" s="68" t="n"/>
      <c r="G273" s="68" t="n"/>
      <c r="H273" s="68" t="n"/>
      <c r="I273" s="68" t="n"/>
      <c r="J273" s="38">
        <f>IF(E273="","",LEFT(E273,6))</f>
        <v/>
      </c>
      <c r="K273" s="39">
        <f>IF(J273="","",IFERROR(INDEX(EXPENSES!$A$5:$A$126,MATCH(J273,EXPENSES!$L$5:$L$126,0)),""))</f>
        <v/>
      </c>
    </row>
    <row r="274">
      <c r="A274" s="12" t="n"/>
      <c r="B274" s="68" t="n"/>
      <c r="C274" s="68" t="n"/>
      <c r="D274" s="26" t="n"/>
      <c r="E274" s="68" t="n"/>
      <c r="F274" s="68" t="n"/>
      <c r="G274" s="68" t="n"/>
      <c r="H274" s="68" t="n"/>
      <c r="I274" s="68" t="n"/>
      <c r="J274" s="38">
        <f>IF(E274="","",LEFT(E274,6))</f>
        <v/>
      </c>
      <c r="K274" s="39">
        <f>IF(J274="","",IFERROR(INDEX(EXPENSES!$A$5:$A$126,MATCH(J274,EXPENSES!$L$5:$L$126,0)),""))</f>
        <v/>
      </c>
    </row>
    <row r="275">
      <c r="A275" s="12" t="n"/>
      <c r="B275" s="68" t="n"/>
      <c r="C275" s="68" t="n"/>
      <c r="D275" s="26" t="n"/>
      <c r="E275" s="68" t="n"/>
      <c r="F275" s="68" t="n"/>
      <c r="G275" s="68" t="n"/>
      <c r="H275" s="68" t="n"/>
      <c r="I275" s="68" t="n"/>
      <c r="J275" s="38">
        <f>IF(E275="","",LEFT(E275,6))</f>
        <v/>
      </c>
      <c r="K275" s="39">
        <f>IF(J275="","",IFERROR(INDEX(EXPENSES!$A$5:$A$126,MATCH(J275,EXPENSES!$L$5:$L$126,0)),""))</f>
        <v/>
      </c>
    </row>
    <row r="276">
      <c r="A276" s="12" t="n"/>
      <c r="B276" s="68" t="n"/>
      <c r="C276" s="68" t="n"/>
      <c r="D276" s="26" t="n"/>
      <c r="E276" s="68" t="n"/>
      <c r="F276" s="68" t="n"/>
      <c r="G276" s="68" t="n"/>
      <c r="H276" s="68" t="n"/>
      <c r="I276" s="68" t="n"/>
      <c r="J276" s="38">
        <f>IF(E276="","",LEFT(E276,6))</f>
        <v/>
      </c>
      <c r="K276" s="39">
        <f>IF(J276="","",IFERROR(INDEX(EXPENSES!$A$5:$A$126,MATCH(J276,EXPENSES!$L$5:$L$126,0)),""))</f>
        <v/>
      </c>
    </row>
    <row r="277">
      <c r="A277" s="12" t="n"/>
      <c r="B277" s="68" t="n"/>
      <c r="C277" s="68" t="n"/>
      <c r="D277" s="26" t="n"/>
      <c r="E277" s="68" t="n"/>
      <c r="F277" s="68" t="n"/>
      <c r="G277" s="68" t="n"/>
      <c r="H277" s="68" t="n"/>
      <c r="I277" s="68" t="n"/>
      <c r="J277" s="38">
        <f>IF(E277="","",LEFT(E277,6))</f>
        <v/>
      </c>
      <c r="K277" s="39">
        <f>IF(J277="","",IFERROR(INDEX(EXPENSES!$A$5:$A$126,MATCH(J277,EXPENSES!$L$5:$L$126,0)),""))</f>
        <v/>
      </c>
    </row>
    <row r="278">
      <c r="A278" s="12" t="n"/>
      <c r="B278" s="68" t="n"/>
      <c r="C278" s="68" t="n"/>
      <c r="D278" s="26" t="n"/>
      <c r="E278" s="68" t="n"/>
      <c r="F278" s="68" t="n"/>
      <c r="G278" s="68" t="n"/>
      <c r="H278" s="68" t="n"/>
      <c r="I278" s="68" t="n"/>
      <c r="J278" s="38">
        <f>IF(E278="","",LEFT(E278,6))</f>
        <v/>
      </c>
      <c r="K278" s="39">
        <f>IF(J278="","",IFERROR(INDEX(EXPENSES!$A$5:$A$126,MATCH(J278,EXPENSES!$L$5:$L$126,0)),""))</f>
        <v/>
      </c>
    </row>
    <row r="279">
      <c r="A279" s="12" t="n"/>
      <c r="B279" s="68" t="n"/>
      <c r="C279" s="68" t="n"/>
      <c r="D279" s="26" t="n"/>
      <c r="E279" s="68" t="n"/>
      <c r="F279" s="68" t="n"/>
      <c r="G279" s="68" t="n"/>
      <c r="H279" s="68" t="n"/>
      <c r="I279" s="68" t="n"/>
      <c r="J279" s="38">
        <f>IF(E279="","",LEFT(E279,6))</f>
        <v/>
      </c>
      <c r="K279" s="39">
        <f>IF(J279="","",IFERROR(INDEX(EXPENSES!$A$5:$A$126,MATCH(J279,EXPENSES!$L$5:$L$126,0)),""))</f>
        <v/>
      </c>
    </row>
    <row r="280">
      <c r="A280" s="12" t="n"/>
      <c r="B280" s="68" t="n"/>
      <c r="C280" s="68" t="n"/>
      <c r="D280" s="26" t="n"/>
      <c r="E280" s="68" t="n"/>
      <c r="F280" s="68" t="n"/>
      <c r="G280" s="68" t="n"/>
      <c r="H280" s="68" t="n"/>
      <c r="I280" s="68" t="n"/>
      <c r="J280" s="38">
        <f>IF(E280="","",LEFT(E280,6))</f>
        <v/>
      </c>
      <c r="K280" s="39">
        <f>IF(J280="","",IFERROR(INDEX(EXPENSES!$A$5:$A$126,MATCH(J280,EXPENSES!$L$5:$L$126,0)),""))</f>
        <v/>
      </c>
    </row>
    <row r="281">
      <c r="A281" s="12" t="n"/>
      <c r="B281" s="68" t="n"/>
      <c r="C281" s="68" t="n"/>
      <c r="D281" s="26" t="n"/>
      <c r="E281" s="68" t="n"/>
      <c r="F281" s="68" t="n"/>
      <c r="G281" s="68" t="n"/>
      <c r="H281" s="68" t="n"/>
      <c r="I281" s="68" t="n"/>
      <c r="J281" s="38">
        <f>IF(E281="","",LEFT(E281,6))</f>
        <v/>
      </c>
      <c r="K281" s="39">
        <f>IF(J281="","",IFERROR(INDEX(EXPENSES!$A$5:$A$126,MATCH(J281,EXPENSES!$L$5:$L$126,0)),""))</f>
        <v/>
      </c>
    </row>
    <row r="282">
      <c r="A282" s="12" t="n"/>
      <c r="B282" s="68" t="n"/>
      <c r="C282" s="68" t="n"/>
      <c r="D282" s="26" t="n"/>
      <c r="E282" s="68" t="n"/>
      <c r="F282" s="68" t="n"/>
      <c r="G282" s="68" t="n"/>
      <c r="H282" s="68" t="n"/>
      <c r="I282" s="68" t="n"/>
      <c r="J282" s="38">
        <f>IF(E282="","",LEFT(E282,6))</f>
        <v/>
      </c>
      <c r="K282" s="39">
        <f>IF(J282="","",IFERROR(INDEX(EXPENSES!$A$5:$A$126,MATCH(J282,EXPENSES!$L$5:$L$126,0)),""))</f>
        <v/>
      </c>
    </row>
    <row r="283">
      <c r="A283" s="12" t="n"/>
      <c r="B283" s="68" t="n"/>
      <c r="C283" s="68" t="n"/>
      <c r="D283" s="26" t="n"/>
      <c r="E283" s="68" t="n"/>
      <c r="F283" s="68" t="n"/>
      <c r="G283" s="68" t="n"/>
      <c r="H283" s="68" t="n"/>
      <c r="I283" s="68" t="n"/>
      <c r="J283" s="38">
        <f>IF(E283="","",LEFT(E283,6))</f>
        <v/>
      </c>
      <c r="K283" s="39">
        <f>IF(J283="","",IFERROR(INDEX(EXPENSES!$A$5:$A$126,MATCH(J283,EXPENSES!$L$5:$L$126,0)),""))</f>
        <v/>
      </c>
    </row>
    <row r="284">
      <c r="A284" s="12" t="n"/>
      <c r="B284" s="68" t="n"/>
      <c r="C284" s="68" t="n"/>
      <c r="D284" s="26" t="n"/>
      <c r="E284" s="68" t="n"/>
      <c r="F284" s="68" t="n"/>
      <c r="G284" s="68" t="n"/>
      <c r="H284" s="68" t="n"/>
      <c r="I284" s="68" t="n"/>
      <c r="J284" s="38">
        <f>IF(E284="","",LEFT(E284,6))</f>
        <v/>
      </c>
      <c r="K284" s="39">
        <f>IF(J284="","",IFERROR(INDEX(EXPENSES!$A$5:$A$126,MATCH(J284,EXPENSES!$L$5:$L$126,0)),""))</f>
        <v/>
      </c>
    </row>
    <row r="285">
      <c r="A285" s="12" t="n"/>
      <c r="B285" s="68" t="n"/>
      <c r="C285" s="68" t="n"/>
      <c r="D285" s="26" t="n"/>
      <c r="E285" s="68" t="n"/>
      <c r="F285" s="68" t="n"/>
      <c r="G285" s="68" t="n"/>
      <c r="H285" s="68" t="n"/>
      <c r="I285" s="68" t="n"/>
      <c r="J285" s="38">
        <f>IF(E285="","",LEFT(E285,6))</f>
        <v/>
      </c>
      <c r="K285" s="39">
        <f>IF(J285="","",IFERROR(INDEX(EXPENSES!$A$5:$A$126,MATCH(J285,EXPENSES!$L$5:$L$126,0)),""))</f>
        <v/>
      </c>
    </row>
    <row r="286">
      <c r="A286" s="12" t="n"/>
      <c r="B286" s="68" t="n"/>
      <c r="C286" s="68" t="n"/>
      <c r="D286" s="26" t="n"/>
      <c r="E286" s="68" t="n"/>
      <c r="F286" s="68" t="n"/>
      <c r="G286" s="68" t="n"/>
      <c r="H286" s="68" t="n"/>
      <c r="I286" s="68" t="n"/>
      <c r="J286" s="38">
        <f>IF(E286="","",LEFT(E286,6))</f>
        <v/>
      </c>
      <c r="K286" s="39">
        <f>IF(J286="","",IFERROR(INDEX(EXPENSES!$A$5:$A$126,MATCH(J286,EXPENSES!$L$5:$L$126,0)),""))</f>
        <v/>
      </c>
    </row>
    <row r="287">
      <c r="A287" s="12" t="n"/>
      <c r="B287" s="68" t="n"/>
      <c r="C287" s="68" t="n"/>
      <c r="D287" s="26" t="n"/>
      <c r="E287" s="68" t="n"/>
      <c r="F287" s="68" t="n"/>
      <c r="G287" s="68" t="n"/>
      <c r="H287" s="68" t="n"/>
      <c r="I287" s="68" t="n"/>
      <c r="J287" s="38">
        <f>IF(E287="","",LEFT(E287,6))</f>
        <v/>
      </c>
      <c r="K287" s="39">
        <f>IF(J287="","",IFERROR(INDEX(EXPENSES!$A$5:$A$126,MATCH(J287,EXPENSES!$L$5:$L$126,0)),""))</f>
        <v/>
      </c>
    </row>
    <row r="288">
      <c r="A288" s="12" t="n"/>
      <c r="B288" s="68" t="n"/>
      <c r="C288" s="68" t="n"/>
      <c r="D288" s="26" t="n"/>
      <c r="E288" s="68" t="n"/>
      <c r="F288" s="68" t="n"/>
      <c r="G288" s="68" t="n"/>
      <c r="H288" s="68" t="n"/>
      <c r="I288" s="68" t="n"/>
      <c r="J288" s="38">
        <f>IF(E288="","",LEFT(E288,6))</f>
        <v/>
      </c>
      <c r="K288" s="39">
        <f>IF(J288="","",IFERROR(INDEX(EXPENSES!$A$5:$A$126,MATCH(J288,EXPENSES!$L$5:$L$126,0)),""))</f>
        <v/>
      </c>
    </row>
    <row r="289">
      <c r="A289" s="12" t="n"/>
      <c r="B289" s="68" t="n"/>
      <c r="C289" s="68" t="n"/>
      <c r="D289" s="26" t="n"/>
      <c r="E289" s="68" t="n"/>
      <c r="F289" s="68" t="n"/>
      <c r="G289" s="68" t="n"/>
      <c r="H289" s="68" t="n"/>
      <c r="I289" s="68" t="n"/>
      <c r="J289" s="38">
        <f>IF(E289="","",LEFT(E289,6))</f>
        <v/>
      </c>
      <c r="K289" s="39">
        <f>IF(J289="","",IFERROR(INDEX(EXPENSES!$A$5:$A$126,MATCH(J289,EXPENSES!$L$5:$L$126,0)),""))</f>
        <v/>
      </c>
    </row>
    <row r="290">
      <c r="A290" s="12" t="n"/>
      <c r="B290" s="68" t="n"/>
      <c r="C290" s="68" t="n"/>
      <c r="D290" s="26" t="n"/>
      <c r="E290" s="68" t="n"/>
      <c r="F290" s="68" t="n"/>
      <c r="G290" s="68" t="n"/>
      <c r="H290" s="68" t="n"/>
      <c r="I290" s="68" t="n"/>
      <c r="J290" s="38">
        <f>IF(E290="","",LEFT(E290,6))</f>
        <v/>
      </c>
      <c r="K290" s="39">
        <f>IF(J290="","",IFERROR(INDEX(EXPENSES!$A$5:$A$126,MATCH(J290,EXPENSES!$L$5:$L$126,0)),""))</f>
        <v/>
      </c>
    </row>
    <row r="291">
      <c r="A291" s="12" t="n"/>
      <c r="B291" s="68" t="n"/>
      <c r="C291" s="68" t="n"/>
      <c r="D291" s="26" t="n"/>
      <c r="E291" s="68" t="n"/>
      <c r="F291" s="68" t="n"/>
      <c r="G291" s="68" t="n"/>
      <c r="H291" s="68" t="n"/>
      <c r="I291" s="68" t="n"/>
      <c r="J291" s="38">
        <f>IF(E291="","",LEFT(E291,6))</f>
        <v/>
      </c>
      <c r="K291" s="39">
        <f>IF(J291="","",IFERROR(INDEX(EXPENSES!$A$5:$A$126,MATCH(J291,EXPENSES!$L$5:$L$126,0)),""))</f>
        <v/>
      </c>
    </row>
    <row r="292">
      <c r="A292" s="12" t="n"/>
      <c r="B292" s="68" t="n"/>
      <c r="C292" s="68" t="n"/>
      <c r="D292" s="26" t="n"/>
      <c r="E292" s="68" t="n"/>
      <c r="F292" s="68" t="n"/>
      <c r="G292" s="68" t="n"/>
      <c r="H292" s="68" t="n"/>
      <c r="I292" s="68" t="n"/>
      <c r="J292" s="38">
        <f>IF(E292="","",LEFT(E292,6))</f>
        <v/>
      </c>
      <c r="K292" s="39">
        <f>IF(J292="","",IFERROR(INDEX(EXPENSES!$A$5:$A$126,MATCH(J292,EXPENSES!$L$5:$L$126,0)),""))</f>
        <v/>
      </c>
    </row>
    <row r="293">
      <c r="A293" s="12" t="n"/>
      <c r="B293" s="68" t="n"/>
      <c r="C293" s="68" t="n"/>
      <c r="D293" s="26" t="n"/>
      <c r="E293" s="68" t="n"/>
      <c r="F293" s="68" t="n"/>
      <c r="G293" s="68" t="n"/>
      <c r="H293" s="68" t="n"/>
      <c r="I293" s="68" t="n"/>
      <c r="J293" s="38">
        <f>IF(E293="","",LEFT(E293,6))</f>
        <v/>
      </c>
      <c r="K293" s="39">
        <f>IF(J293="","",IFERROR(INDEX(EXPENSES!$A$5:$A$126,MATCH(J293,EXPENSES!$L$5:$L$126,0)),""))</f>
        <v/>
      </c>
    </row>
    <row r="294">
      <c r="A294" s="12" t="n"/>
      <c r="B294" s="68" t="n"/>
      <c r="C294" s="68" t="n"/>
      <c r="D294" s="26" t="n"/>
      <c r="E294" s="68" t="n"/>
      <c r="F294" s="68" t="n"/>
      <c r="G294" s="68" t="n"/>
      <c r="H294" s="68" t="n"/>
      <c r="I294" s="68" t="n"/>
      <c r="J294" s="38">
        <f>IF(E294="","",LEFT(E294,6))</f>
        <v/>
      </c>
      <c r="K294" s="39">
        <f>IF(J294="","",IFERROR(INDEX(EXPENSES!$A$5:$A$126,MATCH(J294,EXPENSES!$L$5:$L$126,0)),""))</f>
        <v/>
      </c>
    </row>
    <row r="295">
      <c r="A295" s="12" t="n"/>
      <c r="B295" s="68" t="n"/>
      <c r="C295" s="68" t="n"/>
      <c r="D295" s="26" t="n"/>
      <c r="E295" s="68" t="n"/>
      <c r="F295" s="68" t="n"/>
      <c r="G295" s="68" t="n"/>
      <c r="H295" s="68" t="n"/>
      <c r="I295" s="68" t="n"/>
      <c r="J295" s="38">
        <f>IF(E295="","",LEFT(E295,6))</f>
        <v/>
      </c>
      <c r="K295" s="39">
        <f>IF(J295="","",IFERROR(INDEX(EXPENSES!$A$5:$A$126,MATCH(J295,EXPENSES!$L$5:$L$126,0)),""))</f>
        <v/>
      </c>
    </row>
    <row r="296">
      <c r="A296" s="12" t="n"/>
      <c r="B296" s="68" t="n"/>
      <c r="C296" s="68" t="n"/>
      <c r="D296" s="26" t="n"/>
      <c r="E296" s="68" t="n"/>
      <c r="F296" s="68" t="n"/>
      <c r="G296" s="68" t="n"/>
      <c r="H296" s="68" t="n"/>
      <c r="I296" s="68" t="n"/>
      <c r="J296" s="38">
        <f>IF(E296="","",LEFT(E296,6))</f>
        <v/>
      </c>
      <c r="K296" s="39">
        <f>IF(J296="","",IFERROR(INDEX(EXPENSES!$A$5:$A$126,MATCH(J296,EXPENSES!$L$5:$L$126,0)),""))</f>
        <v/>
      </c>
    </row>
    <row r="297">
      <c r="A297" s="12" t="n"/>
      <c r="B297" s="68" t="n"/>
      <c r="C297" s="68" t="n"/>
      <c r="D297" s="26" t="n"/>
      <c r="E297" s="68" t="n"/>
      <c r="F297" s="68" t="n"/>
      <c r="G297" s="68" t="n"/>
      <c r="H297" s="68" t="n"/>
      <c r="I297" s="68" t="n"/>
      <c r="J297" s="38">
        <f>IF(E297="","",LEFT(E297,6))</f>
        <v/>
      </c>
      <c r="K297" s="39">
        <f>IF(J297="","",IFERROR(INDEX(EXPENSES!$A$5:$A$126,MATCH(J297,EXPENSES!$L$5:$L$126,0)),""))</f>
        <v/>
      </c>
    </row>
    <row r="298">
      <c r="A298" s="12" t="n"/>
      <c r="B298" s="68" t="n"/>
      <c r="C298" s="68" t="n"/>
      <c r="D298" s="26" t="n"/>
      <c r="E298" s="68" t="n"/>
      <c r="F298" s="68" t="n"/>
      <c r="G298" s="68" t="n"/>
      <c r="H298" s="68" t="n"/>
      <c r="I298" s="68" t="n"/>
      <c r="J298" s="38">
        <f>IF(E298="","",LEFT(E298,6))</f>
        <v/>
      </c>
      <c r="K298" s="39">
        <f>IF(J298="","",IFERROR(INDEX(EXPENSES!$A$5:$A$126,MATCH(J298,EXPENSES!$L$5:$L$126,0)),""))</f>
        <v/>
      </c>
    </row>
    <row r="299">
      <c r="A299" s="12" t="n"/>
      <c r="B299" s="68" t="n"/>
      <c r="C299" s="68" t="n"/>
      <c r="D299" s="26" t="n"/>
      <c r="E299" s="68" t="n"/>
      <c r="F299" s="68" t="n"/>
      <c r="G299" s="68" t="n"/>
      <c r="H299" s="68" t="n"/>
      <c r="I299" s="68" t="n"/>
      <c r="J299" s="38">
        <f>IF(E299="","",LEFT(E299,6))</f>
        <v/>
      </c>
      <c r="K299" s="39">
        <f>IF(J299="","",IFERROR(INDEX(EXPENSES!$A$5:$A$126,MATCH(J299,EXPENSES!$L$5:$L$126,0)),""))</f>
        <v/>
      </c>
    </row>
    <row r="300">
      <c r="A300" s="12" t="n"/>
      <c r="B300" s="68" t="n"/>
      <c r="C300" s="68" t="n"/>
      <c r="D300" s="26" t="n"/>
      <c r="E300" s="68" t="n"/>
      <c r="F300" s="68" t="n"/>
      <c r="G300" s="68" t="n"/>
      <c r="H300" s="68" t="n"/>
      <c r="I300" s="68" t="n"/>
      <c r="J300" s="38">
        <f>IF(E300="","",LEFT(E300,6))</f>
        <v/>
      </c>
      <c r="K300" s="39">
        <f>IF(J300="","",IFERROR(INDEX(EXPENSES!$A$5:$A$126,MATCH(J300,EXPENSES!$L$5:$L$126,0)),""))</f>
        <v/>
      </c>
    </row>
    <row r="301">
      <c r="A301" s="12" t="n"/>
      <c r="B301" s="68" t="n"/>
      <c r="C301" s="68" t="n"/>
      <c r="D301" s="26" t="n"/>
      <c r="E301" s="68" t="n"/>
      <c r="F301" s="68" t="n"/>
      <c r="G301" s="68" t="n"/>
      <c r="H301" s="68" t="n"/>
      <c r="I301" s="68" t="n"/>
      <c r="J301" s="38">
        <f>IF(E301="","",LEFT(E301,6))</f>
        <v/>
      </c>
      <c r="K301" s="39">
        <f>IF(J301="","",IFERROR(INDEX(EXPENSES!$A$5:$A$126,MATCH(J301,EXPENSES!$L$5:$L$126,0)),""))</f>
        <v/>
      </c>
    </row>
    <row r="302">
      <c r="A302" s="12" t="n"/>
      <c r="B302" s="68" t="n"/>
      <c r="C302" s="68" t="n"/>
      <c r="D302" s="26" t="n"/>
      <c r="E302" s="68" t="n"/>
      <c r="F302" s="68" t="n"/>
      <c r="G302" s="68" t="n"/>
      <c r="H302" s="68" t="n"/>
      <c r="I302" s="68" t="n"/>
      <c r="J302" s="38">
        <f>IF(E302="","",LEFT(E302,6))</f>
        <v/>
      </c>
      <c r="K302" s="39">
        <f>IF(J302="","",IFERROR(INDEX(EXPENSES!$A$5:$A$126,MATCH(J302,EXPENSES!$L$5:$L$126,0)),""))</f>
        <v/>
      </c>
    </row>
    <row r="303">
      <c r="A303" s="12" t="n"/>
      <c r="B303" s="68" t="n"/>
      <c r="C303" s="68" t="n"/>
      <c r="D303" s="26" t="n"/>
      <c r="E303" s="68" t="n"/>
      <c r="F303" s="68" t="n"/>
      <c r="G303" s="68" t="n"/>
      <c r="H303" s="68" t="n"/>
      <c r="I303" s="68" t="n"/>
      <c r="J303" s="38">
        <f>IF(E303="","",LEFT(E303,6))</f>
        <v/>
      </c>
      <c r="K303" s="39">
        <f>IF(J303="","",IFERROR(INDEX(EXPENSES!$A$5:$A$126,MATCH(J303,EXPENSES!$L$5:$L$126,0)),""))</f>
        <v/>
      </c>
    </row>
    <row r="304">
      <c r="A304" s="12" t="n"/>
      <c r="B304" s="68" t="n"/>
      <c r="C304" s="68" t="n"/>
      <c r="D304" s="26" t="n"/>
      <c r="E304" s="68" t="n"/>
      <c r="F304" s="68" t="n"/>
      <c r="G304" s="68" t="n"/>
      <c r="H304" s="68" t="n"/>
      <c r="I304" s="68" t="n"/>
      <c r="J304" s="38">
        <f>IF(E304="","",LEFT(E304,6))</f>
        <v/>
      </c>
      <c r="K304" s="39">
        <f>IF(J304="","",IFERROR(INDEX(EXPENSES!$A$5:$A$126,MATCH(J304,EXPENSES!$L$5:$L$126,0)),""))</f>
        <v/>
      </c>
    </row>
    <row r="305">
      <c r="A305" s="12" t="n"/>
      <c r="B305" s="68" t="n"/>
      <c r="C305" s="68" t="n"/>
      <c r="D305" s="26" t="n"/>
      <c r="E305" s="68" t="n"/>
      <c r="F305" s="68" t="n"/>
      <c r="G305" s="68" t="n"/>
      <c r="H305" s="68" t="n"/>
      <c r="I305" s="68" t="n"/>
      <c r="J305" s="38">
        <f>IF(E305="","",LEFT(E305,6))</f>
        <v/>
      </c>
      <c r="K305" s="39">
        <f>IF(J305="","",IFERROR(INDEX(EXPENSES!$A$5:$A$126,MATCH(J305,EXPENSES!$L$5:$L$126,0)),""))</f>
        <v/>
      </c>
    </row>
    <row r="306">
      <c r="A306" s="12" t="n"/>
      <c r="B306" s="68" t="n"/>
      <c r="C306" s="68" t="n"/>
      <c r="D306" s="26" t="n"/>
      <c r="E306" s="68" t="n"/>
      <c r="F306" s="68" t="n"/>
      <c r="G306" s="68" t="n"/>
      <c r="H306" s="68" t="n"/>
      <c r="I306" s="68" t="n"/>
      <c r="J306" s="38">
        <f>IF(E306="","",LEFT(E306,6))</f>
        <v/>
      </c>
      <c r="K306" s="39">
        <f>IF(J306="","",IFERROR(INDEX(EXPENSES!$A$5:$A$126,MATCH(J306,EXPENSES!$L$5:$L$126,0)),""))</f>
        <v/>
      </c>
    </row>
    <row r="307">
      <c r="A307" s="12" t="n"/>
      <c r="B307" s="68" t="n"/>
      <c r="C307" s="68" t="n"/>
      <c r="D307" s="26" t="n"/>
      <c r="E307" s="68" t="n"/>
      <c r="F307" s="68" t="n"/>
      <c r="G307" s="68" t="n"/>
      <c r="H307" s="68" t="n"/>
      <c r="I307" s="68" t="n"/>
      <c r="J307" s="38">
        <f>IF(E307="","",LEFT(E307,6))</f>
        <v/>
      </c>
      <c r="K307" s="39">
        <f>IF(J307="","",IFERROR(INDEX(EXPENSES!$A$5:$A$126,MATCH(J307,EXPENSES!$L$5:$L$126,0)),""))</f>
        <v/>
      </c>
    </row>
    <row r="308">
      <c r="A308" s="12" t="n"/>
      <c r="B308" s="68" t="n"/>
      <c r="C308" s="68" t="n"/>
      <c r="D308" s="26" t="n"/>
      <c r="E308" s="68" t="n"/>
      <c r="F308" s="68" t="n"/>
      <c r="G308" s="68" t="n"/>
      <c r="H308" s="68" t="n"/>
      <c r="I308" s="68" t="n"/>
      <c r="J308" s="38">
        <f>IF(E308="","",LEFT(E308,6))</f>
        <v/>
      </c>
      <c r="K308" s="39">
        <f>IF(J308="","",IFERROR(INDEX(EXPENSES!$A$5:$A$126,MATCH(J308,EXPENSES!$L$5:$L$126,0)),""))</f>
        <v/>
      </c>
    </row>
    <row r="309">
      <c r="A309" s="12" t="n"/>
      <c r="B309" s="68" t="n"/>
      <c r="C309" s="68" t="n"/>
      <c r="D309" s="26" t="n"/>
      <c r="E309" s="68" t="n"/>
      <c r="F309" s="68" t="n"/>
      <c r="G309" s="68" t="n"/>
      <c r="H309" s="68" t="n"/>
      <c r="I309" s="68" t="n"/>
      <c r="J309" s="38">
        <f>IF(E309="","",LEFT(E309,6))</f>
        <v/>
      </c>
      <c r="K309" s="39">
        <f>IF(J309="","",IFERROR(INDEX(EXPENSES!$A$5:$A$126,MATCH(J309,EXPENSES!$L$5:$L$126,0)),""))</f>
        <v/>
      </c>
    </row>
    <row r="310">
      <c r="A310" s="12" t="n"/>
      <c r="B310" s="68" t="n"/>
      <c r="C310" s="68" t="n"/>
      <c r="D310" s="26" t="n"/>
      <c r="E310" s="68" t="n"/>
      <c r="F310" s="68" t="n"/>
      <c r="G310" s="68" t="n"/>
      <c r="H310" s="68" t="n"/>
      <c r="I310" s="68" t="n"/>
      <c r="J310" s="38">
        <f>IF(E310="","",LEFT(E310,6))</f>
        <v/>
      </c>
      <c r="K310" s="39">
        <f>IF(J310="","",IFERROR(INDEX(EXPENSES!$A$5:$A$126,MATCH(J310,EXPENSES!$L$5:$L$126,0)),""))</f>
        <v/>
      </c>
    </row>
    <row r="311">
      <c r="A311" s="12" t="n"/>
      <c r="B311" s="68" t="n"/>
      <c r="C311" s="68" t="n"/>
      <c r="D311" s="26" t="n"/>
      <c r="E311" s="68" t="n"/>
      <c r="F311" s="68" t="n"/>
      <c r="G311" s="68" t="n"/>
      <c r="H311" s="68" t="n"/>
      <c r="I311" s="68" t="n"/>
      <c r="J311" s="38">
        <f>IF(E311="","",LEFT(E311,6))</f>
        <v/>
      </c>
      <c r="K311" s="39">
        <f>IF(J311="","",IFERROR(INDEX(EXPENSES!$A$5:$A$126,MATCH(J311,EXPENSES!$L$5:$L$126,0)),""))</f>
        <v/>
      </c>
    </row>
    <row r="312">
      <c r="A312" s="12" t="n"/>
      <c r="B312" s="68" t="n"/>
      <c r="C312" s="68" t="n"/>
      <c r="D312" s="26" t="n"/>
      <c r="E312" s="68" t="n"/>
      <c r="F312" s="68" t="n"/>
      <c r="G312" s="68" t="n"/>
      <c r="H312" s="68" t="n"/>
      <c r="I312" s="68" t="n"/>
      <c r="J312" s="38">
        <f>IF(E312="","",LEFT(E312,6))</f>
        <v/>
      </c>
      <c r="K312" s="39">
        <f>IF(J312="","",IFERROR(INDEX(EXPENSES!$A$5:$A$126,MATCH(J312,EXPENSES!$L$5:$L$126,0)),""))</f>
        <v/>
      </c>
    </row>
    <row r="313">
      <c r="A313" s="12" t="n"/>
      <c r="B313" s="68" t="n"/>
      <c r="C313" s="68" t="n"/>
      <c r="D313" s="26" t="n"/>
      <c r="E313" s="68" t="n"/>
      <c r="F313" s="68" t="n"/>
      <c r="G313" s="68" t="n"/>
      <c r="H313" s="68" t="n"/>
      <c r="I313" s="68" t="n"/>
      <c r="J313" s="38">
        <f>IF(E313="","",LEFT(E313,6))</f>
        <v/>
      </c>
      <c r="K313" s="39">
        <f>IF(J313="","",IFERROR(INDEX(EXPENSES!$A$5:$A$126,MATCH(J313,EXPENSES!$L$5:$L$126,0)),""))</f>
        <v/>
      </c>
    </row>
    <row r="314">
      <c r="A314" s="12" t="n"/>
      <c r="B314" s="68" t="n"/>
      <c r="C314" s="68" t="n"/>
      <c r="D314" s="26" t="n"/>
      <c r="E314" s="68" t="n"/>
      <c r="F314" s="68" t="n"/>
      <c r="G314" s="68" t="n"/>
      <c r="H314" s="68" t="n"/>
      <c r="I314" s="68" t="n"/>
      <c r="J314" s="38">
        <f>IF(E314="","",LEFT(E314,6))</f>
        <v/>
      </c>
      <c r="K314" s="39">
        <f>IF(J314="","",IFERROR(INDEX(EXPENSES!$A$5:$A$126,MATCH(J314,EXPENSES!$L$5:$L$126,0)),""))</f>
        <v/>
      </c>
    </row>
    <row r="315">
      <c r="A315" s="12" t="n"/>
      <c r="B315" s="68" t="n"/>
      <c r="C315" s="68" t="n"/>
      <c r="D315" s="26" t="n"/>
      <c r="E315" s="68" t="n"/>
      <c r="F315" s="68" t="n"/>
      <c r="G315" s="68" t="n"/>
      <c r="H315" s="68" t="n"/>
      <c r="I315" s="68" t="n"/>
      <c r="J315" s="38">
        <f>IF(E315="","",LEFT(E315,6))</f>
        <v/>
      </c>
      <c r="K315" s="39">
        <f>IF(J315="","",IFERROR(INDEX(EXPENSES!$A$5:$A$126,MATCH(J315,EXPENSES!$L$5:$L$126,0)),""))</f>
        <v/>
      </c>
    </row>
    <row r="316">
      <c r="A316" s="12" t="n"/>
      <c r="B316" s="68" t="n"/>
      <c r="C316" s="68" t="n"/>
      <c r="D316" s="26" t="n"/>
      <c r="E316" s="68" t="n"/>
      <c r="F316" s="68" t="n"/>
      <c r="G316" s="68" t="n"/>
      <c r="H316" s="68" t="n"/>
      <c r="I316" s="68" t="n"/>
      <c r="J316" s="38">
        <f>IF(E316="","",LEFT(E316,6))</f>
        <v/>
      </c>
      <c r="K316" s="39">
        <f>IF(J316="","",IFERROR(INDEX(EXPENSES!$A$5:$A$126,MATCH(J316,EXPENSES!$L$5:$L$126,0)),""))</f>
        <v/>
      </c>
    </row>
    <row r="317">
      <c r="A317" s="12" t="n"/>
      <c r="B317" s="68" t="n"/>
      <c r="C317" s="68" t="n"/>
      <c r="D317" s="26" t="n"/>
      <c r="E317" s="68" t="n"/>
      <c r="F317" s="68" t="n"/>
      <c r="G317" s="68" t="n"/>
      <c r="H317" s="68" t="n"/>
      <c r="I317" s="68" t="n"/>
      <c r="J317" s="38">
        <f>IF(E317="","",LEFT(E317,6))</f>
        <v/>
      </c>
      <c r="K317" s="39">
        <f>IF(J317="","",IFERROR(INDEX(EXPENSES!$A$5:$A$126,MATCH(J317,EXPENSES!$L$5:$L$126,0)),""))</f>
        <v/>
      </c>
    </row>
    <row r="318">
      <c r="A318" s="12" t="n"/>
      <c r="B318" s="68" t="n"/>
      <c r="C318" s="68" t="n"/>
      <c r="D318" s="26" t="n"/>
      <c r="E318" s="68" t="n"/>
      <c r="F318" s="68" t="n"/>
      <c r="G318" s="68" t="n"/>
      <c r="H318" s="68" t="n"/>
      <c r="I318" s="68" t="n"/>
      <c r="J318" s="38">
        <f>IF(E318="","",LEFT(E318,6))</f>
        <v/>
      </c>
      <c r="K318" s="39">
        <f>IF(J318="","",IFERROR(INDEX(EXPENSES!$A$5:$A$126,MATCH(J318,EXPENSES!$L$5:$L$126,0)),""))</f>
        <v/>
      </c>
    </row>
    <row r="319">
      <c r="A319" s="12" t="n"/>
      <c r="B319" s="68" t="n"/>
      <c r="C319" s="68" t="n"/>
      <c r="D319" s="26" t="n"/>
      <c r="E319" s="68" t="n"/>
      <c r="F319" s="68" t="n"/>
      <c r="G319" s="68" t="n"/>
      <c r="H319" s="68" t="n"/>
      <c r="I319" s="68" t="n"/>
      <c r="J319" s="38">
        <f>IF(E319="","",LEFT(E319,6))</f>
        <v/>
      </c>
      <c r="K319" s="39">
        <f>IF(J319="","",IFERROR(INDEX(EXPENSES!$A$5:$A$126,MATCH(J319,EXPENSES!$L$5:$L$126,0)),""))</f>
        <v/>
      </c>
    </row>
    <row r="320">
      <c r="A320" s="12" t="n"/>
      <c r="B320" s="68" t="n"/>
      <c r="C320" s="68" t="n"/>
      <c r="D320" s="26" t="n"/>
      <c r="E320" s="68" t="n"/>
      <c r="F320" s="68" t="n"/>
      <c r="G320" s="68" t="n"/>
      <c r="H320" s="68" t="n"/>
      <c r="I320" s="68" t="n"/>
      <c r="J320" s="38">
        <f>IF(E320="","",LEFT(E320,6))</f>
        <v/>
      </c>
      <c r="K320" s="39">
        <f>IF(J320="","",IFERROR(INDEX(EXPENSES!$A$5:$A$126,MATCH(J320,EXPENSES!$L$5:$L$126,0)),""))</f>
        <v/>
      </c>
    </row>
    <row r="321">
      <c r="A321" s="12" t="n"/>
      <c r="B321" s="68" t="n"/>
      <c r="C321" s="68" t="n"/>
      <c r="D321" s="26" t="n"/>
      <c r="E321" s="68" t="n"/>
      <c r="F321" s="68" t="n"/>
      <c r="G321" s="68" t="n"/>
      <c r="H321" s="68" t="n"/>
      <c r="I321" s="68" t="n"/>
      <c r="J321" s="38">
        <f>IF(E321="","",LEFT(E321,6))</f>
        <v/>
      </c>
      <c r="K321" s="39">
        <f>IF(J321="","",IFERROR(INDEX(EXPENSES!$A$5:$A$126,MATCH(J321,EXPENSES!$L$5:$L$126,0)),""))</f>
        <v/>
      </c>
    </row>
    <row r="322">
      <c r="A322" s="12" t="n"/>
      <c r="B322" s="68" t="n"/>
      <c r="C322" s="68" t="n"/>
      <c r="D322" s="26" t="n"/>
      <c r="E322" s="68" t="n"/>
      <c r="F322" s="68" t="n"/>
      <c r="G322" s="68" t="n"/>
      <c r="H322" s="68" t="n"/>
      <c r="I322" s="68" t="n"/>
      <c r="J322" s="38">
        <f>IF(E322="","",LEFT(E322,6))</f>
        <v/>
      </c>
      <c r="K322" s="39">
        <f>IF(J322="","",IFERROR(INDEX(EXPENSES!$A$5:$A$126,MATCH(J322,EXPENSES!$L$5:$L$126,0)),""))</f>
        <v/>
      </c>
    </row>
    <row r="323">
      <c r="A323" s="12" t="n"/>
      <c r="B323" s="68" t="n"/>
      <c r="C323" s="68" t="n"/>
      <c r="D323" s="26" t="n"/>
      <c r="E323" s="68" t="n"/>
      <c r="F323" s="68" t="n"/>
      <c r="G323" s="68" t="n"/>
      <c r="H323" s="68" t="n"/>
      <c r="I323" s="68" t="n"/>
      <c r="J323" s="38">
        <f>IF(E323="","",LEFT(E323,6))</f>
        <v/>
      </c>
      <c r="K323" s="39">
        <f>IF(J323="","",IFERROR(INDEX(EXPENSES!$A$5:$A$126,MATCH(J323,EXPENSES!$L$5:$L$126,0)),""))</f>
        <v/>
      </c>
    </row>
    <row r="324">
      <c r="A324" s="12" t="n"/>
      <c r="B324" s="68" t="n"/>
      <c r="C324" s="68" t="n"/>
      <c r="D324" s="26" t="n"/>
      <c r="E324" s="68" t="n"/>
      <c r="F324" s="68" t="n"/>
      <c r="G324" s="68" t="n"/>
      <c r="H324" s="68" t="n"/>
      <c r="I324" s="68" t="n"/>
      <c r="J324" s="38">
        <f>IF(E324="","",LEFT(E324,6))</f>
        <v/>
      </c>
      <c r="K324" s="39">
        <f>IF(J324="","",IFERROR(INDEX(EXPENSES!$A$5:$A$126,MATCH(J324,EXPENSES!$L$5:$L$126,0)),""))</f>
        <v/>
      </c>
    </row>
    <row r="325">
      <c r="A325" s="12" t="n"/>
      <c r="B325" s="68" t="n"/>
      <c r="C325" s="68" t="n"/>
      <c r="D325" s="26" t="n"/>
      <c r="E325" s="68" t="n"/>
      <c r="F325" s="68" t="n"/>
      <c r="G325" s="68" t="n"/>
      <c r="H325" s="68" t="n"/>
      <c r="I325" s="68" t="n"/>
      <c r="J325" s="38">
        <f>IF(E325="","",LEFT(E325,6))</f>
        <v/>
      </c>
      <c r="K325" s="39">
        <f>IF(J325="","",IFERROR(INDEX(EXPENSES!$A$5:$A$126,MATCH(J325,EXPENSES!$L$5:$L$126,0)),""))</f>
        <v/>
      </c>
    </row>
    <row r="326">
      <c r="A326" s="12" t="n"/>
      <c r="B326" s="68" t="n"/>
      <c r="C326" s="68" t="n"/>
      <c r="D326" s="26" t="n"/>
      <c r="E326" s="68" t="n"/>
      <c r="F326" s="68" t="n"/>
      <c r="G326" s="68" t="n"/>
      <c r="H326" s="68" t="n"/>
      <c r="I326" s="68" t="n"/>
      <c r="J326" s="38">
        <f>IF(E326="","",LEFT(E326,6))</f>
        <v/>
      </c>
      <c r="K326" s="39">
        <f>IF(J326="","",IFERROR(INDEX(EXPENSES!$A$5:$A$126,MATCH(J326,EXPENSES!$L$5:$L$126,0)),""))</f>
        <v/>
      </c>
    </row>
    <row r="327">
      <c r="A327" s="12" t="n"/>
      <c r="B327" s="68" t="n"/>
      <c r="C327" s="68" t="n"/>
      <c r="D327" s="26" t="n"/>
      <c r="E327" s="68" t="n"/>
      <c r="F327" s="68" t="n"/>
      <c r="G327" s="68" t="n"/>
      <c r="H327" s="68" t="n"/>
      <c r="I327" s="68" t="n"/>
      <c r="J327" s="38">
        <f>IF(E327="","",LEFT(E327,6))</f>
        <v/>
      </c>
      <c r="K327" s="39">
        <f>IF(J327="","",IFERROR(INDEX(EXPENSES!$A$5:$A$126,MATCH(J327,EXPENSES!$L$5:$L$126,0)),""))</f>
        <v/>
      </c>
    </row>
    <row r="328">
      <c r="A328" s="12" t="n"/>
      <c r="B328" s="68" t="n"/>
      <c r="C328" s="68" t="n"/>
      <c r="D328" s="26" t="n"/>
      <c r="E328" s="68" t="n"/>
      <c r="F328" s="68" t="n"/>
      <c r="G328" s="68" t="n"/>
      <c r="H328" s="68" t="n"/>
      <c r="I328" s="68" t="n"/>
      <c r="J328" s="38">
        <f>IF(E328="","",LEFT(E328,6))</f>
        <v/>
      </c>
      <c r="K328" s="39">
        <f>IF(J328="","",IFERROR(INDEX(EXPENSES!$A$5:$A$126,MATCH(J328,EXPENSES!$L$5:$L$126,0)),""))</f>
        <v/>
      </c>
    </row>
    <row r="329">
      <c r="A329" s="12" t="n"/>
      <c r="B329" s="68" t="n"/>
      <c r="C329" s="68" t="n"/>
      <c r="D329" s="26" t="n"/>
      <c r="E329" s="68" t="n"/>
      <c r="F329" s="68" t="n"/>
      <c r="G329" s="68" t="n"/>
      <c r="H329" s="68" t="n"/>
      <c r="I329" s="68" t="n"/>
      <c r="J329" s="38">
        <f>IF(E329="","",LEFT(E329,6))</f>
        <v/>
      </c>
      <c r="K329" s="39">
        <f>IF(J329="","",IFERROR(INDEX(EXPENSES!$A$5:$A$126,MATCH(J329,EXPENSES!$L$5:$L$126,0)),""))</f>
        <v/>
      </c>
    </row>
    <row r="330">
      <c r="A330" s="12" t="n"/>
      <c r="B330" s="68" t="n"/>
      <c r="C330" s="68" t="n"/>
      <c r="D330" s="26" t="n"/>
      <c r="E330" s="68" t="n"/>
      <c r="F330" s="68" t="n"/>
      <c r="G330" s="68" t="n"/>
      <c r="H330" s="68" t="n"/>
      <c r="I330" s="68" t="n"/>
      <c r="J330" s="38">
        <f>IF(E330="","",LEFT(E330,6))</f>
        <v/>
      </c>
      <c r="K330" s="39">
        <f>IF(J330="","",IFERROR(INDEX(EXPENSES!$A$5:$A$126,MATCH(J330,EXPENSES!$L$5:$L$126,0)),""))</f>
        <v/>
      </c>
    </row>
    <row r="331">
      <c r="A331" s="12" t="n"/>
      <c r="B331" s="68" t="n"/>
      <c r="C331" s="68" t="n"/>
      <c r="D331" s="26" t="n"/>
      <c r="E331" s="68" t="n"/>
      <c r="F331" s="68" t="n"/>
      <c r="G331" s="68" t="n"/>
      <c r="H331" s="68" t="n"/>
      <c r="I331" s="68" t="n"/>
      <c r="J331" s="38">
        <f>IF(E331="","",LEFT(E331,6))</f>
        <v/>
      </c>
      <c r="K331" s="39">
        <f>IF(J331="","",IFERROR(INDEX(EXPENSES!$A$5:$A$126,MATCH(J331,EXPENSES!$L$5:$L$126,0)),""))</f>
        <v/>
      </c>
    </row>
    <row r="332">
      <c r="A332" s="12" t="n"/>
      <c r="B332" s="68" t="n"/>
      <c r="C332" s="68" t="n"/>
      <c r="D332" s="26" t="n"/>
      <c r="E332" s="68" t="n"/>
      <c r="F332" s="68" t="n"/>
      <c r="G332" s="68" t="n"/>
      <c r="H332" s="68" t="n"/>
      <c r="I332" s="68" t="n"/>
      <c r="J332" s="38">
        <f>IF(E332="","",LEFT(E332,6))</f>
        <v/>
      </c>
      <c r="K332" s="39">
        <f>IF(J332="","",IFERROR(INDEX(EXPENSES!$A$5:$A$126,MATCH(J332,EXPENSES!$L$5:$L$126,0)),""))</f>
        <v/>
      </c>
    </row>
    <row r="333">
      <c r="A333" s="12" t="n"/>
      <c r="B333" s="68" t="n"/>
      <c r="C333" s="68" t="n"/>
      <c r="D333" s="26" t="n"/>
      <c r="E333" s="68" t="n"/>
      <c r="F333" s="68" t="n"/>
      <c r="G333" s="68" t="n"/>
      <c r="H333" s="68" t="n"/>
      <c r="I333" s="68" t="n"/>
      <c r="J333" s="38">
        <f>IF(E333="","",LEFT(E333,6))</f>
        <v/>
      </c>
      <c r="K333" s="39">
        <f>IF(J333="","",IFERROR(INDEX(EXPENSES!$A$5:$A$126,MATCH(J333,EXPENSES!$L$5:$L$126,0)),""))</f>
        <v/>
      </c>
    </row>
    <row r="334">
      <c r="A334" s="12" t="n"/>
      <c r="B334" s="68" t="n"/>
      <c r="C334" s="68" t="n"/>
      <c r="D334" s="26" t="n"/>
      <c r="E334" s="68" t="n"/>
      <c r="F334" s="68" t="n"/>
      <c r="G334" s="68" t="n"/>
      <c r="H334" s="68" t="n"/>
      <c r="I334" s="68" t="n"/>
      <c r="J334" s="38">
        <f>IF(E334="","",LEFT(E334,6))</f>
        <v/>
      </c>
      <c r="K334" s="39">
        <f>IF(J334="","",IFERROR(INDEX(EXPENSES!$A$5:$A$126,MATCH(J334,EXPENSES!$L$5:$L$126,0)),""))</f>
        <v/>
      </c>
    </row>
    <row r="335">
      <c r="A335" s="12" t="n"/>
      <c r="B335" s="68" t="n"/>
      <c r="C335" s="68" t="n"/>
      <c r="D335" s="26" t="n"/>
      <c r="E335" s="68" t="n"/>
      <c r="F335" s="68" t="n"/>
      <c r="G335" s="68" t="n"/>
      <c r="H335" s="68" t="n"/>
      <c r="I335" s="68" t="n"/>
      <c r="J335" s="38">
        <f>IF(E335="","",LEFT(E335,6))</f>
        <v/>
      </c>
      <c r="K335" s="39">
        <f>IF(J335="","",IFERROR(INDEX(EXPENSES!$A$5:$A$126,MATCH(J335,EXPENSES!$L$5:$L$126,0)),""))</f>
        <v/>
      </c>
    </row>
    <row r="336">
      <c r="A336" s="12" t="n"/>
      <c r="B336" s="68" t="n"/>
      <c r="C336" s="68" t="n"/>
      <c r="D336" s="26" t="n"/>
      <c r="E336" s="68" t="n"/>
      <c r="F336" s="68" t="n"/>
      <c r="G336" s="68" t="n"/>
      <c r="H336" s="68" t="n"/>
      <c r="I336" s="68" t="n"/>
      <c r="J336" s="38">
        <f>IF(E336="","",LEFT(E336,6))</f>
        <v/>
      </c>
      <c r="K336" s="39">
        <f>IF(J336="","",IFERROR(INDEX(EXPENSES!$A$5:$A$126,MATCH(J336,EXPENSES!$L$5:$L$126,0)),""))</f>
        <v/>
      </c>
    </row>
    <row r="337">
      <c r="A337" s="12" t="n"/>
      <c r="B337" s="68" t="n"/>
      <c r="C337" s="68" t="n"/>
      <c r="D337" s="26" t="n"/>
      <c r="E337" s="68" t="n"/>
      <c r="F337" s="68" t="n"/>
      <c r="G337" s="68" t="n"/>
      <c r="H337" s="68" t="n"/>
      <c r="I337" s="68" t="n"/>
      <c r="J337" s="38">
        <f>IF(E337="","",LEFT(E337,6))</f>
        <v/>
      </c>
      <c r="K337" s="39">
        <f>IF(J337="","",IFERROR(INDEX(EXPENSES!$A$5:$A$126,MATCH(J337,EXPENSES!$L$5:$L$126,0)),""))</f>
        <v/>
      </c>
    </row>
    <row r="338">
      <c r="A338" s="12" t="n"/>
      <c r="B338" s="68" t="n"/>
      <c r="C338" s="68" t="n"/>
      <c r="D338" s="26" t="n"/>
      <c r="E338" s="68" t="n"/>
      <c r="F338" s="68" t="n"/>
      <c r="G338" s="68" t="n"/>
      <c r="H338" s="68" t="n"/>
      <c r="I338" s="68" t="n"/>
      <c r="J338" s="38">
        <f>IF(E338="","",LEFT(E338,6))</f>
        <v/>
      </c>
      <c r="K338" s="39">
        <f>IF(J338="","",IFERROR(INDEX(EXPENSES!$A$5:$A$126,MATCH(J338,EXPENSES!$L$5:$L$126,0)),""))</f>
        <v/>
      </c>
    </row>
    <row r="339">
      <c r="A339" s="12" t="n"/>
      <c r="B339" s="68" t="n"/>
      <c r="C339" s="68" t="n"/>
      <c r="D339" s="26" t="n"/>
      <c r="E339" s="68" t="n"/>
      <c r="F339" s="68" t="n"/>
      <c r="G339" s="68" t="n"/>
      <c r="H339" s="68" t="n"/>
      <c r="I339" s="68" t="n"/>
      <c r="J339" s="38">
        <f>IF(E339="","",LEFT(E339,6))</f>
        <v/>
      </c>
      <c r="K339" s="39">
        <f>IF(J339="","",IFERROR(INDEX(EXPENSES!$A$5:$A$126,MATCH(J339,EXPENSES!$L$5:$L$126,0)),""))</f>
        <v/>
      </c>
    </row>
    <row r="340">
      <c r="A340" s="12" t="n"/>
      <c r="B340" s="68" t="n"/>
      <c r="C340" s="68" t="n"/>
      <c r="D340" s="26" t="n"/>
      <c r="E340" s="68" t="n"/>
      <c r="F340" s="68" t="n"/>
      <c r="G340" s="68" t="n"/>
      <c r="H340" s="68" t="n"/>
      <c r="I340" s="68" t="n"/>
      <c r="J340" s="38">
        <f>IF(E340="","",LEFT(E340,6))</f>
        <v/>
      </c>
      <c r="K340" s="39">
        <f>IF(J340="","",IFERROR(INDEX(EXPENSES!$A$5:$A$126,MATCH(J340,EXPENSES!$L$5:$L$126,0)),""))</f>
        <v/>
      </c>
    </row>
    <row r="341">
      <c r="A341" s="12" t="n"/>
      <c r="B341" s="68" t="n"/>
      <c r="C341" s="68" t="n"/>
      <c r="D341" s="26" t="n"/>
      <c r="E341" s="68" t="n"/>
      <c r="F341" s="68" t="n"/>
      <c r="G341" s="68" t="n"/>
      <c r="H341" s="68" t="n"/>
      <c r="I341" s="68" t="n"/>
      <c r="J341" s="38">
        <f>IF(E341="","",LEFT(E341,6))</f>
        <v/>
      </c>
      <c r="K341" s="39">
        <f>IF(J341="","",IFERROR(INDEX(EXPENSES!$A$5:$A$126,MATCH(J341,EXPENSES!$L$5:$L$126,0)),""))</f>
        <v/>
      </c>
    </row>
    <row r="342">
      <c r="A342" s="12" t="n"/>
      <c r="B342" s="68" t="n"/>
      <c r="C342" s="68" t="n"/>
      <c r="D342" s="26" t="n"/>
      <c r="E342" s="68" t="n"/>
      <c r="F342" s="68" t="n"/>
      <c r="G342" s="68" t="n"/>
      <c r="H342" s="68" t="n"/>
      <c r="I342" s="68" t="n"/>
      <c r="J342" s="38">
        <f>IF(E342="","",LEFT(E342,6))</f>
        <v/>
      </c>
      <c r="K342" s="39">
        <f>IF(J342="","",IFERROR(INDEX(EXPENSES!$A$5:$A$126,MATCH(J342,EXPENSES!$L$5:$L$126,0)),""))</f>
        <v/>
      </c>
    </row>
    <row r="343">
      <c r="A343" s="12" t="n"/>
      <c r="B343" s="68" t="n"/>
      <c r="C343" s="68" t="n"/>
      <c r="D343" s="26" t="n"/>
      <c r="E343" s="68" t="n"/>
      <c r="F343" s="68" t="n"/>
      <c r="G343" s="68" t="n"/>
      <c r="H343" s="68" t="n"/>
      <c r="I343" s="68" t="n"/>
      <c r="J343" s="38">
        <f>IF(E343="","",LEFT(E343,6))</f>
        <v/>
      </c>
      <c r="K343" s="39">
        <f>IF(J343="","",IFERROR(INDEX(EXPENSES!$A$5:$A$126,MATCH(J343,EXPENSES!$L$5:$L$126,0)),""))</f>
        <v/>
      </c>
    </row>
    <row r="344">
      <c r="A344" s="12" t="n"/>
      <c r="B344" s="68" t="n"/>
      <c r="C344" s="68" t="n"/>
      <c r="D344" s="26" t="n"/>
      <c r="E344" s="68" t="n"/>
      <c r="F344" s="68" t="n"/>
      <c r="G344" s="68" t="n"/>
      <c r="H344" s="68" t="n"/>
      <c r="I344" s="68" t="n"/>
      <c r="J344" s="38">
        <f>IF(E344="","",LEFT(E344,6))</f>
        <v/>
      </c>
      <c r="K344" s="39">
        <f>IF(J344="","",IFERROR(INDEX(EXPENSES!$A$5:$A$126,MATCH(J344,EXPENSES!$L$5:$L$126,0)),""))</f>
        <v/>
      </c>
    </row>
    <row r="345">
      <c r="A345" s="12" t="n"/>
      <c r="B345" s="68" t="n"/>
      <c r="C345" s="68" t="n"/>
      <c r="D345" s="26" t="n"/>
      <c r="E345" s="68" t="n"/>
      <c r="F345" s="68" t="n"/>
      <c r="G345" s="68" t="n"/>
      <c r="H345" s="68" t="n"/>
      <c r="I345" s="68" t="n"/>
      <c r="J345" s="38">
        <f>IF(E345="","",LEFT(E345,6))</f>
        <v/>
      </c>
      <c r="K345" s="39">
        <f>IF(J345="","",IFERROR(INDEX(EXPENSES!$A$5:$A$126,MATCH(J345,EXPENSES!$L$5:$L$126,0)),""))</f>
        <v/>
      </c>
    </row>
    <row r="346">
      <c r="A346" s="12" t="n"/>
      <c r="B346" s="68" t="n"/>
      <c r="C346" s="68" t="n"/>
      <c r="D346" s="26" t="n"/>
      <c r="E346" s="68" t="n"/>
      <c r="F346" s="68" t="n"/>
      <c r="G346" s="68" t="n"/>
      <c r="H346" s="68" t="n"/>
      <c r="I346" s="68" t="n"/>
      <c r="J346" s="38">
        <f>IF(E346="","",LEFT(E346,6))</f>
        <v/>
      </c>
      <c r="K346" s="39">
        <f>IF(J346="","",IFERROR(INDEX(EXPENSES!$A$5:$A$126,MATCH(J346,EXPENSES!$L$5:$L$126,0)),""))</f>
        <v/>
      </c>
    </row>
    <row r="347">
      <c r="A347" s="12" t="n"/>
      <c r="B347" s="68" t="n"/>
      <c r="C347" s="68" t="n"/>
      <c r="D347" s="26" t="n"/>
      <c r="E347" s="68" t="n"/>
      <c r="F347" s="68" t="n"/>
      <c r="G347" s="68" t="n"/>
      <c r="H347" s="68" t="n"/>
      <c r="I347" s="68" t="n"/>
      <c r="J347" s="38">
        <f>IF(E347="","",LEFT(E347,6))</f>
        <v/>
      </c>
      <c r="K347" s="39">
        <f>IF(J347="","",IFERROR(INDEX(EXPENSES!$A$5:$A$126,MATCH(J347,EXPENSES!$L$5:$L$126,0)),""))</f>
        <v/>
      </c>
    </row>
    <row r="348">
      <c r="A348" s="12" t="n"/>
      <c r="B348" s="68" t="n"/>
      <c r="C348" s="68" t="n"/>
      <c r="D348" s="26" t="n"/>
      <c r="E348" s="68" t="n"/>
      <c r="F348" s="68" t="n"/>
      <c r="G348" s="68" t="n"/>
      <c r="H348" s="68" t="n"/>
      <c r="I348" s="68" t="n"/>
      <c r="J348" s="38">
        <f>IF(E348="","",LEFT(E348,6))</f>
        <v/>
      </c>
      <c r="K348" s="39">
        <f>IF(J348="","",IFERROR(INDEX(EXPENSES!$A$5:$A$126,MATCH(J348,EXPENSES!$L$5:$L$126,0)),""))</f>
        <v/>
      </c>
    </row>
    <row r="349">
      <c r="A349" s="12" t="n"/>
      <c r="B349" s="68" t="n"/>
      <c r="C349" s="68" t="n"/>
      <c r="D349" s="26" t="n"/>
      <c r="E349" s="68" t="n"/>
      <c r="F349" s="68" t="n"/>
      <c r="G349" s="68" t="n"/>
      <c r="H349" s="68" t="n"/>
      <c r="I349" s="68" t="n"/>
      <c r="J349" s="38">
        <f>IF(E349="","",LEFT(E349,6))</f>
        <v/>
      </c>
      <c r="K349" s="39">
        <f>IF(J349="","",IFERROR(INDEX(EXPENSES!$A$5:$A$126,MATCH(J349,EXPENSES!$L$5:$L$126,0)),""))</f>
        <v/>
      </c>
    </row>
    <row r="350">
      <c r="A350" s="12" t="n"/>
      <c r="B350" s="68" t="n"/>
      <c r="C350" s="68" t="n"/>
      <c r="D350" s="26" t="n"/>
      <c r="E350" s="68" t="n"/>
      <c r="F350" s="68" t="n"/>
      <c r="G350" s="68" t="n"/>
      <c r="H350" s="68" t="n"/>
      <c r="I350" s="68" t="n"/>
      <c r="J350" s="38">
        <f>IF(E350="","",LEFT(E350,6))</f>
        <v/>
      </c>
      <c r="K350" s="39">
        <f>IF(J350="","",IFERROR(INDEX(EXPENSES!$A$5:$A$126,MATCH(J350,EXPENSES!$L$5:$L$126,0)),""))</f>
        <v/>
      </c>
    </row>
    <row r="351">
      <c r="A351" s="12" t="n"/>
      <c r="B351" s="68" t="n"/>
      <c r="C351" s="68" t="n"/>
      <c r="D351" s="26" t="n"/>
      <c r="E351" s="68" t="n"/>
      <c r="F351" s="68" t="n"/>
      <c r="G351" s="68" t="n"/>
      <c r="H351" s="68" t="n"/>
      <c r="I351" s="68" t="n"/>
      <c r="J351" s="38">
        <f>IF(E351="","",LEFT(E351,6))</f>
        <v/>
      </c>
      <c r="K351" s="39">
        <f>IF(J351="","",IFERROR(INDEX(EXPENSES!$A$5:$A$126,MATCH(J351,EXPENSES!$L$5:$L$126,0)),""))</f>
        <v/>
      </c>
    </row>
    <row r="352">
      <c r="A352" s="12" t="n"/>
      <c r="B352" s="68" t="n"/>
      <c r="C352" s="68" t="n"/>
      <c r="D352" s="26" t="n"/>
      <c r="E352" s="68" t="n"/>
      <c r="F352" s="68" t="n"/>
      <c r="G352" s="68" t="n"/>
      <c r="H352" s="68" t="n"/>
      <c r="I352" s="68" t="n"/>
      <c r="J352" s="38">
        <f>IF(E352="","",LEFT(E352,6))</f>
        <v/>
      </c>
      <c r="K352" s="39">
        <f>IF(J352="","",IFERROR(INDEX(EXPENSES!$A$5:$A$126,MATCH(J352,EXPENSES!$L$5:$L$126,0)),""))</f>
        <v/>
      </c>
    </row>
    <row r="353">
      <c r="A353" s="12" t="n"/>
      <c r="B353" s="68" t="n"/>
      <c r="C353" s="68" t="n"/>
      <c r="D353" s="26" t="n"/>
      <c r="E353" s="68" t="n"/>
      <c r="F353" s="68" t="n"/>
      <c r="G353" s="68" t="n"/>
      <c r="H353" s="68" t="n"/>
      <c r="I353" s="68" t="n"/>
      <c r="J353" s="38">
        <f>IF(E353="","",LEFT(E353,6))</f>
        <v/>
      </c>
      <c r="K353" s="39">
        <f>IF(J353="","",IFERROR(INDEX(EXPENSES!$A$5:$A$126,MATCH(J353,EXPENSES!$L$5:$L$126,0)),""))</f>
        <v/>
      </c>
    </row>
    <row r="354">
      <c r="A354" s="12" t="n"/>
      <c r="B354" s="68" t="n"/>
      <c r="C354" s="68" t="n"/>
      <c r="D354" s="26" t="n"/>
      <c r="E354" s="68" t="n"/>
      <c r="F354" s="68" t="n"/>
      <c r="G354" s="68" t="n"/>
      <c r="H354" s="68" t="n"/>
      <c r="I354" s="68" t="n"/>
      <c r="J354" s="38">
        <f>IF(E354="","",LEFT(E354,6))</f>
        <v/>
      </c>
      <c r="K354" s="39">
        <f>IF(J354="","",IFERROR(INDEX(EXPENSES!$A$5:$A$126,MATCH(J354,EXPENSES!$L$5:$L$126,0)),""))</f>
        <v/>
      </c>
    </row>
    <row r="355">
      <c r="A355" s="12" t="n"/>
      <c r="B355" s="68" t="n"/>
      <c r="C355" s="68" t="n"/>
      <c r="D355" s="26" t="n"/>
      <c r="E355" s="68" t="n"/>
      <c r="F355" s="68" t="n"/>
      <c r="G355" s="68" t="n"/>
      <c r="H355" s="68" t="n"/>
      <c r="I355" s="68" t="n"/>
      <c r="J355" s="38">
        <f>IF(E355="","",LEFT(E355,6))</f>
        <v/>
      </c>
      <c r="K355" s="39">
        <f>IF(J355="","",IFERROR(INDEX(EXPENSES!$A$5:$A$126,MATCH(J355,EXPENSES!$L$5:$L$126,0)),""))</f>
        <v/>
      </c>
    </row>
    <row r="356">
      <c r="A356" s="12" t="n"/>
      <c r="B356" s="68" t="n"/>
      <c r="C356" s="68" t="n"/>
      <c r="D356" s="26" t="n"/>
      <c r="E356" s="68" t="n"/>
      <c r="F356" s="68" t="n"/>
      <c r="G356" s="68" t="n"/>
      <c r="H356" s="68" t="n"/>
      <c r="I356" s="68" t="n"/>
      <c r="J356" s="38">
        <f>IF(E356="","",LEFT(E356,6))</f>
        <v/>
      </c>
      <c r="K356" s="39">
        <f>IF(J356="","",IFERROR(INDEX(EXPENSES!$A$5:$A$126,MATCH(J356,EXPENSES!$L$5:$L$126,0)),""))</f>
        <v/>
      </c>
    </row>
    <row r="357">
      <c r="A357" s="12" t="n"/>
      <c r="B357" s="68" t="n"/>
      <c r="C357" s="68" t="n"/>
      <c r="D357" s="26" t="n"/>
      <c r="E357" s="68" t="n"/>
      <c r="F357" s="68" t="n"/>
      <c r="G357" s="68" t="n"/>
      <c r="H357" s="68" t="n"/>
      <c r="I357" s="68" t="n"/>
      <c r="J357" s="38">
        <f>IF(E357="","",LEFT(E357,6))</f>
        <v/>
      </c>
      <c r="K357" s="39">
        <f>IF(J357="","",IFERROR(INDEX(EXPENSES!$A$5:$A$126,MATCH(J357,EXPENSES!$L$5:$L$126,0)),""))</f>
        <v/>
      </c>
    </row>
    <row r="358">
      <c r="A358" s="12" t="n"/>
      <c r="B358" s="68" t="n"/>
      <c r="C358" s="68" t="n"/>
      <c r="D358" s="26" t="n"/>
      <c r="E358" s="68" t="n"/>
      <c r="F358" s="68" t="n"/>
      <c r="G358" s="68" t="n"/>
      <c r="H358" s="68" t="n"/>
      <c r="I358" s="68" t="n"/>
      <c r="J358" s="38">
        <f>IF(E358="","",LEFT(E358,6))</f>
        <v/>
      </c>
      <c r="K358" s="39">
        <f>IF(J358="","",IFERROR(INDEX(EXPENSES!$A$5:$A$126,MATCH(J358,EXPENSES!$L$5:$L$126,0)),""))</f>
        <v/>
      </c>
    </row>
    <row r="359">
      <c r="A359" s="12" t="n"/>
      <c r="B359" s="68" t="n"/>
      <c r="C359" s="68" t="n"/>
      <c r="D359" s="26" t="n"/>
      <c r="E359" s="68" t="n"/>
      <c r="F359" s="68" t="n"/>
      <c r="G359" s="68" t="n"/>
      <c r="H359" s="68" t="n"/>
      <c r="I359" s="68" t="n"/>
      <c r="J359" s="38">
        <f>IF(E359="","",LEFT(E359,6))</f>
        <v/>
      </c>
      <c r="K359" s="39">
        <f>IF(J359="","",IFERROR(INDEX(EXPENSES!$A$5:$A$126,MATCH(J359,EXPENSES!$L$5:$L$126,0)),""))</f>
        <v/>
      </c>
    </row>
    <row r="360">
      <c r="A360" s="12" t="n"/>
      <c r="B360" s="68" t="n"/>
      <c r="C360" s="68" t="n"/>
      <c r="D360" s="26" t="n"/>
      <c r="E360" s="68" t="n"/>
      <c r="F360" s="68" t="n"/>
      <c r="G360" s="68" t="n"/>
      <c r="H360" s="68" t="n"/>
      <c r="I360" s="68" t="n"/>
      <c r="J360" s="38">
        <f>IF(E360="","",LEFT(E360,6))</f>
        <v/>
      </c>
      <c r="K360" s="39">
        <f>IF(J360="","",IFERROR(INDEX(EXPENSES!$A$5:$A$126,MATCH(J360,EXPENSES!$L$5:$L$126,0)),""))</f>
        <v/>
      </c>
    </row>
    <row r="361">
      <c r="A361" s="12" t="n"/>
      <c r="B361" s="68" t="n"/>
      <c r="C361" s="68" t="n"/>
      <c r="D361" s="26" t="n"/>
      <c r="E361" s="68" t="n"/>
      <c r="F361" s="68" t="n"/>
      <c r="G361" s="68" t="n"/>
      <c r="H361" s="68" t="n"/>
      <c r="I361" s="68" t="n"/>
      <c r="J361" s="38">
        <f>IF(E361="","",LEFT(E361,6))</f>
        <v/>
      </c>
      <c r="K361" s="39">
        <f>IF(J361="","",IFERROR(INDEX(EXPENSES!$A$5:$A$126,MATCH(J361,EXPENSES!$L$5:$L$126,0)),""))</f>
        <v/>
      </c>
    </row>
    <row r="362">
      <c r="A362" s="12" t="n"/>
      <c r="B362" s="68" t="n"/>
      <c r="C362" s="68" t="n"/>
      <c r="D362" s="26" t="n"/>
      <c r="E362" s="68" t="n"/>
      <c r="F362" s="68" t="n"/>
      <c r="G362" s="68" t="n"/>
      <c r="H362" s="68" t="n"/>
      <c r="I362" s="68" t="n"/>
      <c r="J362" s="38">
        <f>IF(E362="","",LEFT(E362,6))</f>
        <v/>
      </c>
      <c r="K362" s="39">
        <f>IF(J362="","",IFERROR(INDEX(EXPENSES!$A$5:$A$126,MATCH(J362,EXPENSES!$L$5:$L$126,0)),""))</f>
        <v/>
      </c>
    </row>
    <row r="363">
      <c r="A363" s="12" t="n"/>
      <c r="B363" s="68" t="n"/>
      <c r="C363" s="68" t="n"/>
      <c r="D363" s="26" t="n"/>
      <c r="E363" s="68" t="n"/>
      <c r="F363" s="68" t="n"/>
      <c r="G363" s="68" t="n"/>
      <c r="H363" s="68" t="n"/>
      <c r="I363" s="68" t="n"/>
      <c r="J363" s="38">
        <f>IF(E363="","",LEFT(E363,6))</f>
        <v/>
      </c>
      <c r="K363" s="39">
        <f>IF(J363="","",IFERROR(INDEX(EXPENSES!$A$5:$A$126,MATCH(J363,EXPENSES!$L$5:$L$126,0)),""))</f>
        <v/>
      </c>
    </row>
    <row r="364">
      <c r="A364" s="12" t="n"/>
      <c r="B364" s="68" t="n"/>
      <c r="C364" s="68" t="n"/>
      <c r="D364" s="26" t="n"/>
      <c r="E364" s="68" t="n"/>
      <c r="F364" s="68" t="n"/>
      <c r="G364" s="68" t="n"/>
      <c r="H364" s="68" t="n"/>
      <c r="I364" s="68" t="n"/>
      <c r="J364" s="38">
        <f>IF(E364="","",LEFT(E364,6))</f>
        <v/>
      </c>
      <c r="K364" s="39">
        <f>IF(J364="","",IFERROR(INDEX(EXPENSES!$A$5:$A$126,MATCH(J364,EXPENSES!$L$5:$L$126,0)),""))</f>
        <v/>
      </c>
    </row>
    <row r="365">
      <c r="A365" s="12" t="n"/>
      <c r="B365" s="68" t="n"/>
      <c r="C365" s="68" t="n"/>
      <c r="D365" s="26" t="n"/>
      <c r="E365" s="68" t="n"/>
      <c r="F365" s="68" t="n"/>
      <c r="G365" s="68" t="n"/>
      <c r="H365" s="68" t="n"/>
      <c r="I365" s="68" t="n"/>
      <c r="J365" s="38">
        <f>IF(E365="","",LEFT(E365,6))</f>
        <v/>
      </c>
      <c r="K365" s="39">
        <f>IF(J365="","",IFERROR(INDEX(EXPENSES!$A$5:$A$126,MATCH(J365,EXPENSES!$L$5:$L$126,0)),""))</f>
        <v/>
      </c>
    </row>
    <row r="366">
      <c r="A366" s="12" t="n"/>
      <c r="B366" s="68" t="n"/>
      <c r="C366" s="68" t="n"/>
      <c r="D366" s="26" t="n"/>
      <c r="E366" s="68" t="n"/>
      <c r="F366" s="68" t="n"/>
      <c r="G366" s="68" t="n"/>
      <c r="H366" s="68" t="n"/>
      <c r="I366" s="68" t="n"/>
      <c r="J366" s="38">
        <f>IF(E366="","",LEFT(E366,6))</f>
        <v/>
      </c>
      <c r="K366" s="39">
        <f>IF(J366="","",IFERROR(INDEX(EXPENSES!$A$5:$A$126,MATCH(J366,EXPENSES!$L$5:$L$126,0)),""))</f>
        <v/>
      </c>
    </row>
    <row r="367">
      <c r="A367" s="12" t="n"/>
      <c r="B367" s="68" t="n"/>
      <c r="C367" s="68" t="n"/>
      <c r="D367" s="26" t="n"/>
      <c r="E367" s="68" t="n"/>
      <c r="F367" s="68" t="n"/>
      <c r="G367" s="68" t="n"/>
      <c r="H367" s="68" t="n"/>
      <c r="I367" s="68" t="n"/>
      <c r="J367" s="38">
        <f>IF(E367="","",LEFT(E367,6))</f>
        <v/>
      </c>
      <c r="K367" s="39">
        <f>IF(J367="","",IFERROR(INDEX(EXPENSES!$A$5:$A$126,MATCH(J367,EXPENSES!$L$5:$L$126,0)),""))</f>
        <v/>
      </c>
    </row>
    <row r="368">
      <c r="A368" s="12" t="n"/>
      <c r="B368" s="68" t="n"/>
      <c r="C368" s="68" t="n"/>
      <c r="D368" s="26" t="n"/>
      <c r="E368" s="68" t="n"/>
      <c r="F368" s="68" t="n"/>
      <c r="G368" s="68" t="n"/>
      <c r="H368" s="68" t="n"/>
      <c r="I368" s="68" t="n"/>
      <c r="J368" s="38">
        <f>IF(E368="","",LEFT(E368,6))</f>
        <v/>
      </c>
      <c r="K368" s="39">
        <f>IF(J368="","",IFERROR(INDEX(EXPENSES!$A$5:$A$126,MATCH(J368,EXPENSES!$L$5:$L$126,0)),""))</f>
        <v/>
      </c>
    </row>
    <row r="369">
      <c r="A369" s="12" t="n"/>
      <c r="B369" s="68" t="n"/>
      <c r="C369" s="68" t="n"/>
      <c r="D369" s="26" t="n"/>
      <c r="E369" s="68" t="n"/>
      <c r="F369" s="68" t="n"/>
      <c r="G369" s="68" t="n"/>
      <c r="H369" s="68" t="n"/>
      <c r="I369" s="68" t="n"/>
      <c r="J369" s="38">
        <f>IF(E369="","",LEFT(E369,6))</f>
        <v/>
      </c>
      <c r="K369" s="39">
        <f>IF(J369="","",IFERROR(INDEX(EXPENSES!$A$5:$A$126,MATCH(J369,EXPENSES!$L$5:$L$126,0)),""))</f>
        <v/>
      </c>
    </row>
    <row r="370">
      <c r="A370" s="12" t="n"/>
      <c r="B370" s="68" t="n"/>
      <c r="C370" s="68" t="n"/>
      <c r="D370" s="26" t="n"/>
      <c r="E370" s="68" t="n"/>
      <c r="F370" s="68" t="n"/>
      <c r="G370" s="68" t="n"/>
      <c r="H370" s="68" t="n"/>
      <c r="I370" s="68" t="n"/>
      <c r="J370" s="38">
        <f>IF(E370="","",LEFT(E370,6))</f>
        <v/>
      </c>
      <c r="K370" s="39">
        <f>IF(J370="","",IFERROR(INDEX(EXPENSES!$A$5:$A$126,MATCH(J370,EXPENSES!$L$5:$L$126,0)),""))</f>
        <v/>
      </c>
    </row>
    <row r="371">
      <c r="A371" s="12" t="n"/>
      <c r="B371" s="68" t="n"/>
      <c r="C371" s="68" t="n"/>
      <c r="D371" s="26" t="n"/>
      <c r="E371" s="68" t="n"/>
      <c r="F371" s="68" t="n"/>
      <c r="G371" s="68" t="n"/>
      <c r="H371" s="68" t="n"/>
      <c r="I371" s="68" t="n"/>
      <c r="J371" s="38">
        <f>IF(E371="","",LEFT(E371,6))</f>
        <v/>
      </c>
      <c r="K371" s="39">
        <f>IF(J371="","",IFERROR(INDEX(EXPENSES!$A$5:$A$126,MATCH(J371,EXPENSES!$L$5:$L$126,0)),""))</f>
        <v/>
      </c>
    </row>
    <row r="372">
      <c r="A372" s="12" t="n"/>
      <c r="B372" s="68" t="n"/>
      <c r="C372" s="68" t="n"/>
      <c r="D372" s="26" t="n"/>
      <c r="E372" s="68" t="n"/>
      <c r="F372" s="68" t="n"/>
      <c r="G372" s="68" t="n"/>
      <c r="H372" s="68" t="n"/>
      <c r="I372" s="68" t="n"/>
      <c r="J372" s="38">
        <f>IF(E372="","",LEFT(E372,6))</f>
        <v/>
      </c>
      <c r="K372" s="39">
        <f>IF(J372="","",IFERROR(INDEX(EXPENSES!$A$5:$A$126,MATCH(J372,EXPENSES!$L$5:$L$126,0)),""))</f>
        <v/>
      </c>
    </row>
    <row r="373">
      <c r="A373" s="12" t="n"/>
      <c r="B373" s="68" t="n"/>
      <c r="C373" s="68" t="n"/>
      <c r="D373" s="26" t="n"/>
      <c r="E373" s="68" t="n"/>
      <c r="F373" s="68" t="n"/>
      <c r="G373" s="68" t="n"/>
      <c r="H373" s="68" t="n"/>
      <c r="I373" s="68" t="n"/>
      <c r="J373" s="38">
        <f>IF(E373="","",LEFT(E373,6))</f>
        <v/>
      </c>
      <c r="K373" s="39">
        <f>IF(J373="","",IFERROR(INDEX(EXPENSES!$A$5:$A$126,MATCH(J373,EXPENSES!$L$5:$L$126,0)),""))</f>
        <v/>
      </c>
    </row>
    <row r="374">
      <c r="A374" s="12" t="n"/>
      <c r="B374" s="68" t="n"/>
      <c r="C374" s="68" t="n"/>
      <c r="D374" s="26" t="n"/>
      <c r="E374" s="68" t="n"/>
      <c r="F374" s="68" t="n"/>
      <c r="G374" s="68" t="n"/>
      <c r="H374" s="68" t="n"/>
      <c r="I374" s="68" t="n"/>
      <c r="J374" s="38">
        <f>IF(E374="","",LEFT(E374,6))</f>
        <v/>
      </c>
      <c r="K374" s="39">
        <f>IF(J374="","",IFERROR(INDEX(EXPENSES!$A$5:$A$126,MATCH(J374,EXPENSES!$L$5:$L$126,0)),""))</f>
        <v/>
      </c>
    </row>
    <row r="375">
      <c r="A375" s="12" t="n"/>
      <c r="B375" s="68" t="n"/>
      <c r="C375" s="68" t="n"/>
      <c r="D375" s="26" t="n"/>
      <c r="E375" s="68" t="n"/>
      <c r="F375" s="68" t="n"/>
      <c r="G375" s="68" t="n"/>
      <c r="H375" s="68" t="n"/>
      <c r="I375" s="68" t="n"/>
      <c r="J375" s="38">
        <f>IF(E375="","",LEFT(E375,6))</f>
        <v/>
      </c>
      <c r="K375" s="39">
        <f>IF(J375="","",IFERROR(INDEX(EXPENSES!$A$5:$A$126,MATCH(J375,EXPENSES!$L$5:$L$126,0)),""))</f>
        <v/>
      </c>
    </row>
    <row r="376">
      <c r="A376" s="12" t="n"/>
      <c r="B376" s="68" t="n"/>
      <c r="C376" s="68" t="n"/>
      <c r="D376" s="26" t="n"/>
      <c r="E376" s="68" t="n"/>
      <c r="F376" s="68" t="n"/>
      <c r="G376" s="68" t="n"/>
      <c r="H376" s="68" t="n"/>
      <c r="I376" s="68" t="n"/>
      <c r="J376" s="38">
        <f>IF(E376="","",LEFT(E376,6))</f>
        <v/>
      </c>
      <c r="K376" s="39">
        <f>IF(J376="","",IFERROR(INDEX(EXPENSES!$A$5:$A$126,MATCH(J376,EXPENSES!$L$5:$L$126,0)),""))</f>
        <v/>
      </c>
    </row>
    <row r="377">
      <c r="A377" s="12" t="n"/>
      <c r="B377" s="68" t="n"/>
      <c r="C377" s="68" t="n"/>
      <c r="D377" s="26" t="n"/>
      <c r="E377" s="68" t="n"/>
      <c r="F377" s="68" t="n"/>
      <c r="G377" s="68" t="n"/>
      <c r="H377" s="68" t="n"/>
      <c r="I377" s="68" t="n"/>
      <c r="J377" s="38">
        <f>IF(E377="","",LEFT(E377,6))</f>
        <v/>
      </c>
      <c r="K377" s="39">
        <f>IF(J377="","",IFERROR(INDEX(EXPENSES!$A$5:$A$126,MATCH(J377,EXPENSES!$L$5:$L$126,0)),""))</f>
        <v/>
      </c>
    </row>
    <row r="378">
      <c r="A378" s="12" t="n"/>
      <c r="B378" s="68" t="n"/>
      <c r="C378" s="68" t="n"/>
      <c r="D378" s="26" t="n"/>
      <c r="E378" s="68" t="n"/>
      <c r="F378" s="68" t="n"/>
      <c r="G378" s="68" t="n"/>
      <c r="H378" s="68" t="n"/>
      <c r="I378" s="68" t="n"/>
      <c r="J378" s="38">
        <f>IF(E378="","",LEFT(E378,6))</f>
        <v/>
      </c>
      <c r="K378" s="39">
        <f>IF(J378="","",IFERROR(INDEX(EXPENSES!$A$5:$A$126,MATCH(J378,EXPENSES!$L$5:$L$126,0)),""))</f>
        <v/>
      </c>
    </row>
    <row r="379">
      <c r="A379" s="12" t="n"/>
      <c r="B379" s="68" t="n"/>
      <c r="C379" s="68" t="n"/>
      <c r="D379" s="26" t="n"/>
      <c r="E379" s="68" t="n"/>
      <c r="F379" s="68" t="n"/>
      <c r="G379" s="68" t="n"/>
      <c r="H379" s="68" t="n"/>
      <c r="I379" s="68" t="n"/>
      <c r="J379" s="38">
        <f>IF(E379="","",LEFT(E379,6))</f>
        <v/>
      </c>
      <c r="K379" s="39">
        <f>IF(J379="","",IFERROR(INDEX(EXPENSES!$A$5:$A$126,MATCH(J379,EXPENSES!$L$5:$L$126,0)),""))</f>
        <v/>
      </c>
    </row>
    <row r="380">
      <c r="A380" s="12" t="n"/>
      <c r="B380" s="68" t="n"/>
      <c r="C380" s="68" t="n"/>
      <c r="D380" s="26" t="n"/>
      <c r="E380" s="68" t="n"/>
      <c r="F380" s="68" t="n"/>
      <c r="G380" s="68" t="n"/>
      <c r="H380" s="68" t="n"/>
      <c r="I380" s="68" t="n"/>
      <c r="J380" s="38">
        <f>IF(E380="","",LEFT(E380,6))</f>
        <v/>
      </c>
      <c r="K380" s="39">
        <f>IF(J380="","",IFERROR(INDEX(EXPENSES!$A$5:$A$126,MATCH(J380,EXPENSES!$L$5:$L$126,0)),""))</f>
        <v/>
      </c>
    </row>
    <row r="381">
      <c r="A381" s="12" t="n"/>
      <c r="B381" s="68" t="n"/>
      <c r="C381" s="68" t="n"/>
      <c r="D381" s="26" t="n"/>
      <c r="E381" s="68" t="n"/>
      <c r="F381" s="68" t="n"/>
      <c r="G381" s="68" t="n"/>
      <c r="H381" s="68" t="n"/>
      <c r="I381" s="68" t="n"/>
      <c r="J381" s="38">
        <f>IF(E381="","",LEFT(E381,6))</f>
        <v/>
      </c>
      <c r="K381" s="39">
        <f>IF(J381="","",IFERROR(INDEX(EXPENSES!$A$5:$A$126,MATCH(J381,EXPENSES!$L$5:$L$126,0)),""))</f>
        <v/>
      </c>
    </row>
    <row r="382">
      <c r="A382" s="12" t="n"/>
      <c r="B382" s="68" t="n"/>
      <c r="C382" s="68" t="n"/>
      <c r="D382" s="26" t="n"/>
      <c r="E382" s="68" t="n"/>
      <c r="F382" s="68" t="n"/>
      <c r="G382" s="68" t="n"/>
      <c r="H382" s="68" t="n"/>
      <c r="I382" s="68" t="n"/>
      <c r="J382" s="38">
        <f>IF(E382="","",LEFT(E382,6))</f>
        <v/>
      </c>
      <c r="K382" s="39">
        <f>IF(J382="","",IFERROR(INDEX(EXPENSES!$A$5:$A$126,MATCH(J382,EXPENSES!$L$5:$L$126,0)),""))</f>
        <v/>
      </c>
    </row>
    <row r="383">
      <c r="A383" s="12" t="n"/>
      <c r="B383" s="68" t="n"/>
      <c r="C383" s="68" t="n"/>
      <c r="D383" s="26" t="n"/>
      <c r="E383" s="68" t="n"/>
      <c r="F383" s="68" t="n"/>
      <c r="G383" s="68" t="n"/>
      <c r="H383" s="68" t="n"/>
      <c r="I383" s="68" t="n"/>
      <c r="J383" s="38">
        <f>IF(E383="","",LEFT(E383,6))</f>
        <v/>
      </c>
      <c r="K383" s="39">
        <f>IF(J383="","",IFERROR(INDEX(EXPENSES!$A$5:$A$126,MATCH(J383,EXPENSES!$L$5:$L$126,0)),""))</f>
        <v/>
      </c>
    </row>
    <row r="384">
      <c r="A384" s="12" t="n"/>
      <c r="B384" s="68" t="n"/>
      <c r="C384" s="68" t="n"/>
      <c r="D384" s="26" t="n"/>
      <c r="E384" s="68" t="n"/>
      <c r="F384" s="68" t="n"/>
      <c r="G384" s="68" t="n"/>
      <c r="H384" s="68" t="n"/>
      <c r="I384" s="68" t="n"/>
      <c r="J384" s="38">
        <f>IF(E384="","",LEFT(E384,6))</f>
        <v/>
      </c>
      <c r="K384" s="39">
        <f>IF(J384="","",IFERROR(INDEX(EXPENSES!$A$5:$A$126,MATCH(J384,EXPENSES!$L$5:$L$126,0)),""))</f>
        <v/>
      </c>
    </row>
    <row r="385">
      <c r="A385" s="12" t="n"/>
      <c r="B385" s="68" t="n"/>
      <c r="C385" s="68" t="n"/>
      <c r="D385" s="26" t="n"/>
      <c r="E385" s="68" t="n"/>
      <c r="F385" s="68" t="n"/>
      <c r="G385" s="68" t="n"/>
      <c r="H385" s="68" t="n"/>
      <c r="I385" s="68" t="n"/>
      <c r="J385" s="38">
        <f>IF(E385="","",LEFT(E385,6))</f>
        <v/>
      </c>
      <c r="K385" s="39">
        <f>IF(J385="","",IFERROR(INDEX(EXPENSES!$A$5:$A$126,MATCH(J385,EXPENSES!$L$5:$L$126,0)),""))</f>
        <v/>
      </c>
    </row>
    <row r="386">
      <c r="A386" s="12" t="n"/>
      <c r="B386" s="68" t="n"/>
      <c r="C386" s="68" t="n"/>
      <c r="D386" s="26" t="n"/>
      <c r="E386" s="68" t="n"/>
      <c r="F386" s="68" t="n"/>
      <c r="G386" s="68" t="n"/>
      <c r="H386" s="68" t="n"/>
      <c r="I386" s="68" t="n"/>
      <c r="J386" s="38">
        <f>IF(E386="","",LEFT(E386,6))</f>
        <v/>
      </c>
      <c r="K386" s="39">
        <f>IF(J386="","",IFERROR(INDEX(EXPENSES!$A$5:$A$126,MATCH(J386,EXPENSES!$L$5:$L$126,0)),""))</f>
        <v/>
      </c>
    </row>
    <row r="387">
      <c r="A387" s="12" t="n"/>
      <c r="B387" s="68" t="n"/>
      <c r="C387" s="68" t="n"/>
      <c r="D387" s="26" t="n"/>
      <c r="E387" s="68" t="n"/>
      <c r="F387" s="68" t="n"/>
      <c r="G387" s="68" t="n"/>
      <c r="H387" s="68" t="n"/>
      <c r="I387" s="68" t="n"/>
      <c r="J387" s="38">
        <f>IF(E387="","",LEFT(E387,6))</f>
        <v/>
      </c>
      <c r="K387" s="39">
        <f>IF(J387="","",IFERROR(INDEX(EXPENSES!$A$5:$A$126,MATCH(J387,EXPENSES!$L$5:$L$126,0)),""))</f>
        <v/>
      </c>
    </row>
    <row r="388">
      <c r="A388" s="12" t="n"/>
      <c r="B388" s="68" t="n"/>
      <c r="C388" s="68" t="n"/>
      <c r="D388" s="26" t="n"/>
      <c r="E388" s="68" t="n"/>
      <c r="F388" s="68" t="n"/>
      <c r="G388" s="68" t="n"/>
      <c r="H388" s="68" t="n"/>
      <c r="I388" s="68" t="n"/>
      <c r="J388" s="38">
        <f>IF(E388="","",LEFT(E388,6))</f>
        <v/>
      </c>
      <c r="K388" s="39">
        <f>IF(J388="","",IFERROR(INDEX(EXPENSES!$A$5:$A$126,MATCH(J388,EXPENSES!$L$5:$L$126,0)),""))</f>
        <v/>
      </c>
    </row>
    <row r="389">
      <c r="A389" s="12" t="n"/>
      <c r="B389" s="68" t="n"/>
      <c r="C389" s="68" t="n"/>
      <c r="D389" s="26" t="n"/>
      <c r="E389" s="68" t="n"/>
      <c r="F389" s="68" t="n"/>
      <c r="G389" s="68" t="n"/>
      <c r="H389" s="68" t="n"/>
      <c r="I389" s="68" t="n"/>
      <c r="J389" s="38">
        <f>IF(E389="","",LEFT(E389,6))</f>
        <v/>
      </c>
      <c r="K389" s="39">
        <f>IF(J389="","",IFERROR(INDEX(EXPENSES!$A$5:$A$126,MATCH(J389,EXPENSES!$L$5:$L$126,0)),""))</f>
        <v/>
      </c>
    </row>
    <row r="390">
      <c r="A390" s="12" t="n"/>
      <c r="B390" s="68" t="n"/>
      <c r="C390" s="68" t="n"/>
      <c r="D390" s="26" t="n"/>
      <c r="E390" s="68" t="n"/>
      <c r="F390" s="68" t="n"/>
      <c r="G390" s="68" t="n"/>
      <c r="H390" s="68" t="n"/>
      <c r="I390" s="68" t="n"/>
      <c r="J390" s="38">
        <f>IF(E390="","",LEFT(E390,6))</f>
        <v/>
      </c>
      <c r="K390" s="39">
        <f>IF(J390="","",IFERROR(INDEX(EXPENSES!$A$5:$A$126,MATCH(J390,EXPENSES!$L$5:$L$126,0)),""))</f>
        <v/>
      </c>
    </row>
    <row r="391">
      <c r="A391" s="12" t="n"/>
      <c r="B391" s="68" t="n"/>
      <c r="C391" s="68" t="n"/>
      <c r="D391" s="26" t="n"/>
      <c r="E391" s="68" t="n"/>
      <c r="F391" s="68" t="n"/>
      <c r="G391" s="68" t="n"/>
      <c r="H391" s="68" t="n"/>
      <c r="I391" s="68" t="n"/>
      <c r="J391" s="38">
        <f>IF(E391="","",LEFT(E391,6))</f>
        <v/>
      </c>
      <c r="K391" s="39">
        <f>IF(J391="","",IFERROR(INDEX(EXPENSES!$A$5:$A$126,MATCH(J391,EXPENSES!$L$5:$L$126,0)),""))</f>
        <v/>
      </c>
    </row>
    <row r="392">
      <c r="A392" s="12" t="n"/>
      <c r="B392" s="68" t="n"/>
      <c r="C392" s="68" t="n"/>
      <c r="D392" s="26" t="n"/>
      <c r="E392" s="68" t="n"/>
      <c r="F392" s="68" t="n"/>
      <c r="G392" s="68" t="n"/>
      <c r="H392" s="68" t="n"/>
      <c r="I392" s="68" t="n"/>
      <c r="J392" s="38">
        <f>IF(E392="","",LEFT(E392,6))</f>
        <v/>
      </c>
      <c r="K392" s="39">
        <f>IF(J392="","",IFERROR(INDEX(EXPENSES!$A$5:$A$126,MATCH(J392,EXPENSES!$L$5:$L$126,0)),""))</f>
        <v/>
      </c>
    </row>
    <row r="393">
      <c r="A393" s="12" t="n"/>
      <c r="B393" s="68" t="n"/>
      <c r="C393" s="68" t="n"/>
      <c r="D393" s="26" t="n"/>
      <c r="E393" s="68" t="n"/>
      <c r="F393" s="68" t="n"/>
      <c r="G393" s="68" t="n"/>
      <c r="H393" s="68" t="n"/>
      <c r="I393" s="68" t="n"/>
      <c r="J393" s="38">
        <f>IF(E393="","",LEFT(E393,6))</f>
        <v/>
      </c>
      <c r="K393" s="39">
        <f>IF(J393="","",IFERROR(INDEX(EXPENSES!$A$5:$A$126,MATCH(J393,EXPENSES!$L$5:$L$126,0)),""))</f>
        <v/>
      </c>
    </row>
    <row r="394">
      <c r="A394" s="12" t="n"/>
      <c r="B394" s="68" t="n"/>
      <c r="C394" s="68" t="n"/>
      <c r="D394" s="26" t="n"/>
      <c r="E394" s="68" t="n"/>
      <c r="F394" s="68" t="n"/>
      <c r="G394" s="68" t="n"/>
      <c r="H394" s="68" t="n"/>
      <c r="I394" s="68" t="n"/>
      <c r="J394" s="38">
        <f>IF(E394="","",LEFT(E394,6))</f>
        <v/>
      </c>
      <c r="K394" s="39">
        <f>IF(J394="","",IFERROR(INDEX(EXPENSES!$A$5:$A$126,MATCH(J394,EXPENSES!$L$5:$L$126,0)),""))</f>
        <v/>
      </c>
    </row>
    <row r="395">
      <c r="A395" s="12" t="n"/>
      <c r="B395" s="68" t="n"/>
      <c r="C395" s="68" t="n"/>
      <c r="D395" s="26" t="n"/>
      <c r="E395" s="68" t="n"/>
      <c r="F395" s="68" t="n"/>
      <c r="G395" s="68" t="n"/>
      <c r="H395" s="68" t="n"/>
      <c r="I395" s="68" t="n"/>
      <c r="J395" s="38">
        <f>IF(E395="","",LEFT(E395,6))</f>
        <v/>
      </c>
      <c r="K395" s="39">
        <f>IF(J395="","",IFERROR(INDEX(EXPENSES!$A$5:$A$126,MATCH(J395,EXPENSES!$L$5:$L$126,0)),""))</f>
        <v/>
      </c>
    </row>
    <row r="396">
      <c r="A396" s="12" t="n"/>
      <c r="B396" s="68" t="n"/>
      <c r="C396" s="68" t="n"/>
      <c r="D396" s="26" t="n"/>
      <c r="E396" s="68" t="n"/>
      <c r="F396" s="68" t="n"/>
      <c r="G396" s="68" t="n"/>
      <c r="H396" s="68" t="n"/>
      <c r="I396" s="68" t="n"/>
      <c r="J396" s="38">
        <f>IF(E396="","",LEFT(E396,6))</f>
        <v/>
      </c>
      <c r="K396" s="39">
        <f>IF(J396="","",IFERROR(INDEX(EXPENSES!$A$5:$A$126,MATCH(J396,EXPENSES!$L$5:$L$126,0)),""))</f>
        <v/>
      </c>
    </row>
    <row r="397">
      <c r="A397" s="12" t="n"/>
      <c r="B397" s="68" t="n"/>
      <c r="C397" s="68" t="n"/>
      <c r="D397" s="26" t="n"/>
      <c r="E397" s="68" t="n"/>
      <c r="F397" s="68" t="n"/>
      <c r="G397" s="68" t="n"/>
      <c r="H397" s="68" t="n"/>
      <c r="I397" s="68" t="n"/>
      <c r="J397" s="38">
        <f>IF(E397="","",LEFT(E397,6))</f>
        <v/>
      </c>
      <c r="K397" s="39">
        <f>IF(J397="","",IFERROR(INDEX(EXPENSES!$A$5:$A$126,MATCH(J397,EXPENSES!$L$5:$L$126,0)),""))</f>
        <v/>
      </c>
    </row>
    <row r="398">
      <c r="A398" s="12" t="n"/>
      <c r="B398" s="68" t="n"/>
      <c r="C398" s="68" t="n"/>
      <c r="D398" s="26" t="n"/>
      <c r="E398" s="68" t="n"/>
      <c r="F398" s="68" t="n"/>
      <c r="G398" s="68" t="n"/>
      <c r="H398" s="68" t="n"/>
      <c r="I398" s="68" t="n"/>
      <c r="J398" s="38">
        <f>IF(E398="","",LEFT(E398,6))</f>
        <v/>
      </c>
      <c r="K398" s="39">
        <f>IF(J398="","",IFERROR(INDEX(EXPENSES!$A$5:$A$126,MATCH(J398,EXPENSES!$L$5:$L$126,0)),""))</f>
        <v/>
      </c>
    </row>
    <row r="399">
      <c r="A399" s="12" t="n"/>
      <c r="B399" s="68" t="n"/>
      <c r="C399" s="68" t="n"/>
      <c r="D399" s="26" t="n"/>
      <c r="E399" s="68" t="n"/>
      <c r="F399" s="68" t="n"/>
      <c r="G399" s="68" t="n"/>
      <c r="H399" s="68" t="n"/>
      <c r="I399" s="68" t="n"/>
      <c r="J399" s="38">
        <f>IF(E399="","",LEFT(E399,6))</f>
        <v/>
      </c>
      <c r="K399" s="39">
        <f>IF(J399="","",IFERROR(INDEX(EXPENSES!$A$5:$A$126,MATCH(J399,EXPENSES!$L$5:$L$126,0)),""))</f>
        <v/>
      </c>
    </row>
    <row r="400">
      <c r="A400" s="12" t="n"/>
      <c r="B400" s="68" t="n"/>
      <c r="C400" s="68" t="n"/>
      <c r="D400" s="26" t="n"/>
      <c r="E400" s="68" t="n"/>
      <c r="F400" s="68" t="n"/>
      <c r="G400" s="68" t="n"/>
      <c r="H400" s="68" t="n"/>
      <c r="I400" s="68" t="n"/>
      <c r="J400" s="38">
        <f>IF(E400="","",LEFT(E400,6))</f>
        <v/>
      </c>
      <c r="K400" s="39">
        <f>IF(J400="","",IFERROR(INDEX(EXPENSES!$A$5:$A$126,MATCH(J400,EXPENSES!$L$5:$L$126,0)),""))</f>
        <v/>
      </c>
    </row>
    <row r="401">
      <c r="A401" s="12" t="n"/>
      <c r="B401" s="68" t="n"/>
      <c r="C401" s="68" t="n"/>
      <c r="D401" s="26" t="n"/>
      <c r="E401" s="68" t="n"/>
      <c r="F401" s="68" t="n"/>
      <c r="G401" s="68" t="n"/>
      <c r="H401" s="68" t="n"/>
      <c r="I401" s="68" t="n"/>
      <c r="J401" s="38">
        <f>IF(E401="","",LEFT(E401,6))</f>
        <v/>
      </c>
      <c r="K401" s="39">
        <f>IF(J401="","",IFERROR(INDEX(EXPENSES!$A$5:$A$126,MATCH(J401,EXPENSES!$L$5:$L$126,0)),""))</f>
        <v/>
      </c>
    </row>
    <row r="402">
      <c r="A402" s="12" t="n"/>
      <c r="B402" s="68" t="n"/>
      <c r="C402" s="68" t="n"/>
      <c r="D402" s="26" t="n"/>
      <c r="E402" s="68" t="n"/>
      <c r="F402" s="68" t="n"/>
      <c r="G402" s="68" t="n"/>
      <c r="H402" s="68" t="n"/>
      <c r="I402" s="68" t="n"/>
      <c r="J402" s="38">
        <f>IF(E402="","",LEFT(E402,6))</f>
        <v/>
      </c>
      <c r="K402" s="39">
        <f>IF(J402="","",IFERROR(INDEX(EXPENSES!$A$5:$A$126,MATCH(J402,EXPENSES!$L$5:$L$126,0)),""))</f>
        <v/>
      </c>
    </row>
    <row r="403">
      <c r="A403" s="12" t="n"/>
      <c r="B403" s="68" t="n"/>
      <c r="C403" s="68" t="n"/>
      <c r="D403" s="26" t="n"/>
      <c r="E403" s="68" t="n"/>
      <c r="F403" s="68" t="n"/>
      <c r="G403" s="68" t="n"/>
      <c r="H403" s="68" t="n"/>
      <c r="I403" s="68" t="n"/>
      <c r="J403" s="38">
        <f>IF(E403="","",LEFT(E403,6))</f>
        <v/>
      </c>
      <c r="K403" s="39">
        <f>IF(J403="","",IFERROR(INDEX(EXPENSES!$A$5:$A$126,MATCH(J403,EXPENSES!$L$5:$L$126,0)),""))</f>
        <v/>
      </c>
    </row>
    <row r="404">
      <c r="A404" s="12" t="n"/>
      <c r="B404" s="68" t="n"/>
      <c r="C404" s="68" t="n"/>
      <c r="D404" s="26" t="n"/>
      <c r="E404" s="68" t="n"/>
      <c r="F404" s="68" t="n"/>
      <c r="G404" s="68" t="n"/>
      <c r="H404" s="68" t="n"/>
      <c r="I404" s="68" t="n"/>
      <c r="J404" s="38">
        <f>IF(E404="","",LEFT(E404,6))</f>
        <v/>
      </c>
      <c r="K404" s="39">
        <f>IF(J404="","",IFERROR(INDEX(EXPENSES!$A$5:$A$126,MATCH(J404,EXPENSES!$L$5:$L$126,0)),""))</f>
        <v/>
      </c>
    </row>
    <row r="405">
      <c r="A405" s="12" t="n"/>
      <c r="B405" s="68" t="n"/>
      <c r="C405" s="68" t="n"/>
      <c r="D405" s="26" t="n"/>
      <c r="E405" s="68" t="n"/>
      <c r="F405" s="68" t="n"/>
      <c r="G405" s="68" t="n"/>
      <c r="H405" s="68" t="n"/>
      <c r="I405" s="68" t="n"/>
      <c r="J405" s="38">
        <f>IF(E405="","",LEFT(E405,6))</f>
        <v/>
      </c>
      <c r="K405" s="39">
        <f>IF(J405="","",IFERROR(INDEX(EXPENSES!$A$5:$A$126,MATCH(J405,EXPENSES!$L$5:$L$126,0)),""))</f>
        <v/>
      </c>
    </row>
    <row r="406">
      <c r="A406" s="12" t="n"/>
      <c r="B406" s="68" t="n"/>
      <c r="C406" s="68" t="n"/>
      <c r="D406" s="26" t="n"/>
      <c r="E406" s="68" t="n"/>
      <c r="F406" s="68" t="n"/>
      <c r="G406" s="68" t="n"/>
      <c r="H406" s="68" t="n"/>
      <c r="I406" s="68" t="n"/>
      <c r="J406" s="38">
        <f>IF(E406="","",LEFT(E406,6))</f>
        <v/>
      </c>
      <c r="K406" s="39">
        <f>IF(J406="","",IFERROR(INDEX(EXPENSES!$A$5:$A$126,MATCH(J406,EXPENSES!$L$5:$L$126,0)),""))</f>
        <v/>
      </c>
    </row>
    <row r="407">
      <c r="A407" s="12" t="n"/>
      <c r="B407" s="68" t="n"/>
      <c r="C407" s="68" t="n"/>
      <c r="D407" s="26" t="n"/>
      <c r="E407" s="68" t="n"/>
      <c r="F407" s="68" t="n"/>
      <c r="G407" s="68" t="n"/>
      <c r="H407" s="68" t="n"/>
      <c r="I407" s="68" t="n"/>
      <c r="J407" s="38">
        <f>IF(E407="","",LEFT(E407,6))</f>
        <v/>
      </c>
      <c r="K407" s="39">
        <f>IF(J407="","",IFERROR(INDEX(EXPENSES!$A$5:$A$126,MATCH(J407,EXPENSES!$L$5:$L$126,0)),""))</f>
        <v/>
      </c>
    </row>
    <row r="408">
      <c r="A408" s="12" t="n"/>
      <c r="B408" s="68" t="n"/>
      <c r="C408" s="68" t="n"/>
      <c r="D408" s="26" t="n"/>
      <c r="E408" s="68" t="n"/>
      <c r="F408" s="68" t="n"/>
      <c r="G408" s="68" t="n"/>
      <c r="H408" s="68" t="n"/>
      <c r="I408" s="68" t="n"/>
      <c r="J408" s="38">
        <f>IF(E408="","",LEFT(E408,6))</f>
        <v/>
      </c>
      <c r="K408" s="39">
        <f>IF(J408="","",IFERROR(INDEX(EXPENSES!$A$5:$A$126,MATCH(J408,EXPENSES!$L$5:$L$126,0)),""))</f>
        <v/>
      </c>
    </row>
    <row r="409">
      <c r="A409" s="12" t="n"/>
      <c r="B409" s="68" t="n"/>
      <c r="C409" s="68" t="n"/>
      <c r="D409" s="26" t="n"/>
      <c r="E409" s="68" t="n"/>
      <c r="F409" s="68" t="n"/>
      <c r="G409" s="68" t="n"/>
      <c r="H409" s="68" t="n"/>
      <c r="I409" s="68" t="n"/>
      <c r="J409" s="38">
        <f>IF(E409="","",LEFT(E409,6))</f>
        <v/>
      </c>
      <c r="K409" s="39">
        <f>IF(J409="","",IFERROR(INDEX(EXPENSES!$A$5:$A$126,MATCH(J409,EXPENSES!$L$5:$L$126,0)),""))</f>
        <v/>
      </c>
    </row>
    <row r="410">
      <c r="A410" s="12" t="n"/>
      <c r="B410" s="68" t="n"/>
      <c r="C410" s="68" t="n"/>
      <c r="D410" s="26" t="n"/>
      <c r="E410" s="68" t="n"/>
      <c r="F410" s="68" t="n"/>
      <c r="G410" s="68" t="n"/>
      <c r="H410" s="68" t="n"/>
      <c r="I410" s="68" t="n"/>
      <c r="J410" s="38">
        <f>IF(E410="","",LEFT(E410,6))</f>
        <v/>
      </c>
      <c r="K410" s="39">
        <f>IF(J410="","",IFERROR(INDEX(EXPENSES!$A$5:$A$126,MATCH(J410,EXPENSES!$L$5:$L$126,0)),""))</f>
        <v/>
      </c>
    </row>
    <row r="411">
      <c r="A411" s="12" t="n"/>
      <c r="B411" s="68" t="n"/>
      <c r="C411" s="68" t="n"/>
      <c r="D411" s="26" t="n"/>
      <c r="E411" s="68" t="n"/>
      <c r="F411" s="68" t="n"/>
      <c r="G411" s="68" t="n"/>
      <c r="H411" s="68" t="n"/>
      <c r="I411" s="68" t="n"/>
      <c r="J411" s="38">
        <f>IF(E411="","",LEFT(E411,6))</f>
        <v/>
      </c>
      <c r="K411" s="39">
        <f>IF(J411="","",IFERROR(INDEX(EXPENSES!$A$5:$A$126,MATCH(J411,EXPENSES!$L$5:$L$126,0)),""))</f>
        <v/>
      </c>
    </row>
    <row r="412">
      <c r="A412" s="12" t="n"/>
      <c r="B412" s="68" t="n"/>
      <c r="C412" s="68" t="n"/>
      <c r="D412" s="26" t="n"/>
      <c r="E412" s="68" t="n"/>
      <c r="F412" s="68" t="n"/>
      <c r="G412" s="68" t="n"/>
      <c r="H412" s="68" t="n"/>
      <c r="I412" s="68" t="n"/>
      <c r="J412" s="38">
        <f>IF(E412="","",LEFT(E412,6))</f>
        <v/>
      </c>
      <c r="K412" s="39">
        <f>IF(J412="","",IFERROR(INDEX(EXPENSES!$A$5:$A$126,MATCH(J412,EXPENSES!$L$5:$L$126,0)),""))</f>
        <v/>
      </c>
    </row>
    <row r="413">
      <c r="A413" s="12" t="n"/>
      <c r="B413" s="68" t="n"/>
      <c r="C413" s="68" t="n"/>
      <c r="D413" s="26" t="n"/>
      <c r="E413" s="68" t="n"/>
      <c r="F413" s="68" t="n"/>
      <c r="G413" s="68" t="n"/>
      <c r="H413" s="68" t="n"/>
      <c r="I413" s="68" t="n"/>
      <c r="J413" s="38">
        <f>IF(E413="","",LEFT(E413,6))</f>
        <v/>
      </c>
      <c r="K413" s="39">
        <f>IF(J413="","",IFERROR(INDEX(EXPENSES!$A$5:$A$126,MATCH(J413,EXPENSES!$L$5:$L$126,0)),""))</f>
        <v/>
      </c>
    </row>
    <row r="414">
      <c r="A414" s="12" t="n"/>
      <c r="B414" s="68" t="n"/>
      <c r="C414" s="68" t="n"/>
      <c r="D414" s="26" t="n"/>
      <c r="E414" s="68" t="n"/>
      <c r="F414" s="68" t="n"/>
      <c r="G414" s="68" t="n"/>
      <c r="H414" s="68" t="n"/>
      <c r="I414" s="68" t="n"/>
      <c r="J414" s="38">
        <f>IF(E414="","",LEFT(E414,6))</f>
        <v/>
      </c>
      <c r="K414" s="39">
        <f>IF(J414="","",IFERROR(INDEX(EXPENSES!$A$5:$A$126,MATCH(J414,EXPENSES!$L$5:$L$126,0)),""))</f>
        <v/>
      </c>
    </row>
    <row r="415">
      <c r="A415" s="12" t="n"/>
      <c r="B415" s="68" t="n"/>
      <c r="C415" s="68" t="n"/>
      <c r="D415" s="26" t="n"/>
      <c r="E415" s="68" t="n"/>
      <c r="F415" s="68" t="n"/>
      <c r="G415" s="68" t="n"/>
      <c r="H415" s="68" t="n"/>
      <c r="I415" s="68" t="n"/>
      <c r="J415" s="38">
        <f>IF(E415="","",LEFT(E415,6))</f>
        <v/>
      </c>
      <c r="K415" s="39">
        <f>IF(J415="","",IFERROR(INDEX(EXPENSES!$A$5:$A$126,MATCH(J415,EXPENSES!$L$5:$L$126,0)),""))</f>
        <v/>
      </c>
    </row>
    <row r="416">
      <c r="A416" s="12" t="n"/>
      <c r="B416" s="68" t="n"/>
      <c r="C416" s="68" t="n"/>
      <c r="D416" s="26" t="n"/>
      <c r="E416" s="68" t="n"/>
      <c r="F416" s="68" t="n"/>
      <c r="G416" s="68" t="n"/>
      <c r="H416" s="68" t="n"/>
      <c r="I416" s="68" t="n"/>
      <c r="J416" s="38">
        <f>IF(E416="","",LEFT(E416,6))</f>
        <v/>
      </c>
      <c r="K416" s="39">
        <f>IF(J416="","",IFERROR(INDEX(EXPENSES!$A$5:$A$126,MATCH(J416,EXPENSES!$L$5:$L$126,0)),""))</f>
        <v/>
      </c>
    </row>
    <row r="417">
      <c r="A417" s="12" t="n"/>
      <c r="B417" s="68" t="n"/>
      <c r="C417" s="68" t="n"/>
      <c r="D417" s="26" t="n"/>
      <c r="E417" s="68" t="n"/>
      <c r="F417" s="68" t="n"/>
      <c r="G417" s="68" t="n"/>
      <c r="H417" s="68" t="n"/>
      <c r="I417" s="68" t="n"/>
      <c r="J417" s="38">
        <f>IF(E417="","",LEFT(E417,6))</f>
        <v/>
      </c>
      <c r="K417" s="39">
        <f>IF(J417="","",IFERROR(INDEX(EXPENSES!$A$5:$A$126,MATCH(J417,EXPENSES!$L$5:$L$126,0)),""))</f>
        <v/>
      </c>
    </row>
    <row r="418">
      <c r="A418" s="12" t="n"/>
      <c r="B418" s="68" t="n"/>
      <c r="C418" s="68" t="n"/>
      <c r="D418" s="26" t="n"/>
      <c r="E418" s="68" t="n"/>
      <c r="F418" s="68" t="n"/>
      <c r="G418" s="68" t="n"/>
      <c r="H418" s="68" t="n"/>
      <c r="I418" s="68" t="n"/>
      <c r="J418" s="38">
        <f>IF(E418="","",LEFT(E418,6))</f>
        <v/>
      </c>
      <c r="K418" s="39">
        <f>IF(J418="","",IFERROR(INDEX(EXPENSES!$A$5:$A$126,MATCH(J418,EXPENSES!$L$5:$L$126,0)),""))</f>
        <v/>
      </c>
    </row>
    <row r="419">
      <c r="A419" s="12" t="n"/>
      <c r="B419" s="68" t="n"/>
      <c r="C419" s="68" t="n"/>
      <c r="D419" s="26" t="n"/>
      <c r="E419" s="68" t="n"/>
      <c r="F419" s="68" t="n"/>
      <c r="G419" s="68" t="n"/>
      <c r="H419" s="68" t="n"/>
      <c r="I419" s="68" t="n"/>
      <c r="J419" s="38">
        <f>IF(E419="","",LEFT(E419,6))</f>
        <v/>
      </c>
      <c r="K419" s="39">
        <f>IF(J419="","",IFERROR(INDEX(EXPENSES!$A$5:$A$126,MATCH(J419,EXPENSES!$L$5:$L$126,0)),""))</f>
        <v/>
      </c>
    </row>
    <row r="420">
      <c r="A420" s="12" t="n"/>
      <c r="B420" s="68" t="n"/>
      <c r="C420" s="68" t="n"/>
      <c r="D420" s="26" t="n"/>
      <c r="E420" s="68" t="n"/>
      <c r="F420" s="68" t="n"/>
      <c r="G420" s="68" t="n"/>
      <c r="H420" s="68" t="n"/>
      <c r="I420" s="68" t="n"/>
      <c r="J420" s="38">
        <f>IF(E420="","",LEFT(E420,6))</f>
        <v/>
      </c>
      <c r="K420" s="39">
        <f>IF(J420="","",IFERROR(INDEX(EXPENSES!$A$5:$A$126,MATCH(J420,EXPENSES!$L$5:$L$126,0)),""))</f>
        <v/>
      </c>
    </row>
    <row r="421">
      <c r="A421" s="12" t="n"/>
      <c r="B421" s="68" t="n"/>
      <c r="C421" s="68" t="n"/>
      <c r="D421" s="26" t="n"/>
      <c r="E421" s="68" t="n"/>
      <c r="F421" s="68" t="n"/>
      <c r="G421" s="68" t="n"/>
      <c r="H421" s="68" t="n"/>
      <c r="I421" s="68" t="n"/>
      <c r="J421" s="38">
        <f>IF(E421="","",LEFT(E421,6))</f>
        <v/>
      </c>
      <c r="K421" s="39">
        <f>IF(J421="","",IFERROR(INDEX(EXPENSES!$A$5:$A$126,MATCH(J421,EXPENSES!$L$5:$L$126,0)),""))</f>
        <v/>
      </c>
    </row>
    <row r="422">
      <c r="A422" s="12" t="n"/>
      <c r="B422" s="68" t="n"/>
      <c r="C422" s="68" t="n"/>
      <c r="D422" s="26" t="n"/>
      <c r="E422" s="68" t="n"/>
      <c r="F422" s="68" t="n"/>
      <c r="G422" s="68" t="n"/>
      <c r="H422" s="68" t="n"/>
      <c r="I422" s="68" t="n"/>
      <c r="J422" s="38">
        <f>IF(E422="","",LEFT(E422,6))</f>
        <v/>
      </c>
      <c r="K422" s="39">
        <f>IF(J422="","",IFERROR(INDEX(EXPENSES!$A$5:$A$126,MATCH(J422,EXPENSES!$L$5:$L$126,0)),""))</f>
        <v/>
      </c>
    </row>
    <row r="423">
      <c r="A423" s="12" t="n"/>
      <c r="B423" s="68" t="n"/>
      <c r="C423" s="68" t="n"/>
      <c r="D423" s="26" t="n"/>
      <c r="E423" s="68" t="n"/>
      <c r="F423" s="68" t="n"/>
      <c r="G423" s="68" t="n"/>
      <c r="H423" s="68" t="n"/>
      <c r="I423" s="68" t="n"/>
      <c r="J423" s="38">
        <f>IF(E423="","",LEFT(E423,6))</f>
        <v/>
      </c>
      <c r="K423" s="39">
        <f>IF(J423="","",IFERROR(INDEX(EXPENSES!$A$5:$A$126,MATCH(J423,EXPENSES!$L$5:$L$126,0)),""))</f>
        <v/>
      </c>
    </row>
    <row r="424">
      <c r="A424" s="12" t="n"/>
      <c r="B424" s="68" t="n"/>
      <c r="C424" s="68" t="n"/>
      <c r="D424" s="26" t="n"/>
      <c r="E424" s="68" t="n"/>
      <c r="F424" s="68" t="n"/>
      <c r="G424" s="68" t="n"/>
      <c r="H424" s="68" t="n"/>
      <c r="I424" s="68" t="n"/>
      <c r="J424" s="38">
        <f>IF(E424="","",LEFT(E424,6))</f>
        <v/>
      </c>
      <c r="K424" s="39">
        <f>IF(J424="","",IFERROR(INDEX(EXPENSES!$A$5:$A$126,MATCH(J424,EXPENSES!$L$5:$L$126,0)),""))</f>
        <v/>
      </c>
    </row>
    <row r="425">
      <c r="A425" s="12" t="n"/>
      <c r="B425" s="68" t="n"/>
      <c r="C425" s="68" t="n"/>
      <c r="D425" s="26" t="n"/>
      <c r="E425" s="68" t="n"/>
      <c r="F425" s="68" t="n"/>
      <c r="G425" s="68" t="n"/>
      <c r="H425" s="68" t="n"/>
      <c r="I425" s="68" t="n"/>
      <c r="J425" s="38">
        <f>IF(E425="","",LEFT(E425,6))</f>
        <v/>
      </c>
      <c r="K425" s="39">
        <f>IF(J425="","",IFERROR(INDEX(EXPENSES!$A$5:$A$126,MATCH(J425,EXPENSES!$L$5:$L$126,0)),""))</f>
        <v/>
      </c>
    </row>
    <row r="426">
      <c r="A426" s="12" t="n"/>
      <c r="B426" s="68" t="n"/>
      <c r="C426" s="68" t="n"/>
      <c r="D426" s="26" t="n"/>
      <c r="E426" s="68" t="n"/>
      <c r="F426" s="68" t="n"/>
      <c r="G426" s="68" t="n"/>
      <c r="H426" s="68" t="n"/>
      <c r="I426" s="68" t="n"/>
      <c r="J426" s="38">
        <f>IF(E426="","",LEFT(E426,6))</f>
        <v/>
      </c>
      <c r="K426" s="39">
        <f>IF(J426="","",IFERROR(INDEX(EXPENSES!$A$5:$A$126,MATCH(J426,EXPENSES!$L$5:$L$126,0)),""))</f>
        <v/>
      </c>
    </row>
    <row r="427">
      <c r="A427" s="12" t="n"/>
      <c r="B427" s="68" t="n"/>
      <c r="C427" s="68" t="n"/>
      <c r="D427" s="26" t="n"/>
      <c r="E427" s="68" t="n"/>
      <c r="F427" s="68" t="n"/>
      <c r="G427" s="68" t="n"/>
      <c r="H427" s="68" t="n"/>
      <c r="I427" s="68" t="n"/>
      <c r="J427" s="38">
        <f>IF(E427="","",LEFT(E427,6))</f>
        <v/>
      </c>
      <c r="K427" s="39">
        <f>IF(J427="","",IFERROR(INDEX(EXPENSES!$A$5:$A$126,MATCH(J427,EXPENSES!$L$5:$L$126,0)),""))</f>
        <v/>
      </c>
    </row>
    <row r="428">
      <c r="A428" s="12" t="n"/>
      <c r="B428" s="68" t="n"/>
      <c r="C428" s="68" t="n"/>
      <c r="D428" s="26" t="n"/>
      <c r="E428" s="68" t="n"/>
      <c r="F428" s="68" t="n"/>
      <c r="G428" s="68" t="n"/>
      <c r="H428" s="68" t="n"/>
      <c r="I428" s="68" t="n"/>
      <c r="J428" s="38">
        <f>IF(E428="","",LEFT(E428,6))</f>
        <v/>
      </c>
      <c r="K428" s="39">
        <f>IF(J428="","",IFERROR(INDEX(EXPENSES!$A$5:$A$126,MATCH(J428,EXPENSES!$L$5:$L$126,0)),""))</f>
        <v/>
      </c>
    </row>
    <row r="429">
      <c r="A429" s="12" t="n"/>
      <c r="B429" s="68" t="n"/>
      <c r="C429" s="68" t="n"/>
      <c r="D429" s="26" t="n"/>
      <c r="E429" s="68" t="n"/>
      <c r="F429" s="68" t="n"/>
      <c r="G429" s="68" t="n"/>
      <c r="H429" s="68" t="n"/>
      <c r="I429" s="68" t="n"/>
      <c r="J429" s="38">
        <f>IF(E429="","",LEFT(E429,6))</f>
        <v/>
      </c>
      <c r="K429" s="39">
        <f>IF(J429="","",IFERROR(INDEX(EXPENSES!$A$5:$A$126,MATCH(J429,EXPENSES!$L$5:$L$126,0)),""))</f>
        <v/>
      </c>
    </row>
    <row r="430">
      <c r="A430" s="12" t="n"/>
      <c r="B430" s="68" t="n"/>
      <c r="C430" s="68" t="n"/>
      <c r="D430" s="26" t="n"/>
      <c r="E430" s="68" t="n"/>
      <c r="F430" s="68" t="n"/>
      <c r="G430" s="68" t="n"/>
      <c r="H430" s="68" t="n"/>
      <c r="I430" s="68" t="n"/>
      <c r="J430" s="38">
        <f>IF(E430="","",LEFT(E430,6))</f>
        <v/>
      </c>
      <c r="K430" s="39">
        <f>IF(J430="","",IFERROR(INDEX(EXPENSES!$A$5:$A$126,MATCH(J430,EXPENSES!$L$5:$L$126,0)),""))</f>
        <v/>
      </c>
    </row>
    <row r="431">
      <c r="A431" s="12" t="n"/>
      <c r="B431" s="68" t="n"/>
      <c r="C431" s="68" t="n"/>
      <c r="D431" s="26" t="n"/>
      <c r="E431" s="68" t="n"/>
      <c r="F431" s="68" t="n"/>
      <c r="G431" s="68" t="n"/>
      <c r="H431" s="68" t="n"/>
      <c r="I431" s="68" t="n"/>
      <c r="J431" s="38">
        <f>IF(E431="","",LEFT(E431,6))</f>
        <v/>
      </c>
      <c r="K431" s="39">
        <f>IF(J431="","",IFERROR(INDEX(EXPENSES!$A$5:$A$126,MATCH(J431,EXPENSES!$L$5:$L$126,0)),""))</f>
        <v/>
      </c>
    </row>
    <row r="432">
      <c r="A432" s="12" t="n"/>
      <c r="B432" s="68" t="n"/>
      <c r="C432" s="68" t="n"/>
      <c r="D432" s="26" t="n"/>
      <c r="E432" s="68" t="n"/>
      <c r="F432" s="68" t="n"/>
      <c r="G432" s="68" t="n"/>
      <c r="H432" s="68" t="n"/>
      <c r="I432" s="68" t="n"/>
      <c r="J432" s="38">
        <f>IF(E432="","",LEFT(E432,6))</f>
        <v/>
      </c>
      <c r="K432" s="39">
        <f>IF(J432="","",IFERROR(INDEX(EXPENSES!$A$5:$A$126,MATCH(J432,EXPENSES!$L$5:$L$126,0)),""))</f>
        <v/>
      </c>
    </row>
    <row r="433">
      <c r="A433" s="12" t="n"/>
      <c r="B433" s="68" t="n"/>
      <c r="C433" s="68" t="n"/>
      <c r="D433" s="26" t="n"/>
      <c r="E433" s="68" t="n"/>
      <c r="F433" s="68" t="n"/>
      <c r="G433" s="68" t="n"/>
      <c r="H433" s="68" t="n"/>
      <c r="I433" s="68" t="n"/>
      <c r="J433" s="38">
        <f>IF(E433="","",LEFT(E433,6))</f>
        <v/>
      </c>
      <c r="K433" s="39">
        <f>IF(J433="","",IFERROR(INDEX(EXPENSES!$A$5:$A$126,MATCH(J433,EXPENSES!$L$5:$L$126,0)),""))</f>
        <v/>
      </c>
    </row>
    <row r="434">
      <c r="A434" s="12" t="n"/>
      <c r="B434" s="68" t="n"/>
      <c r="C434" s="68" t="n"/>
      <c r="D434" s="26" t="n"/>
      <c r="E434" s="68" t="n"/>
      <c r="F434" s="68" t="n"/>
      <c r="G434" s="68" t="n"/>
      <c r="H434" s="68" t="n"/>
      <c r="I434" s="68" t="n"/>
      <c r="J434" s="38">
        <f>IF(E434="","",LEFT(E434,6))</f>
        <v/>
      </c>
      <c r="K434" s="39">
        <f>IF(J434="","",IFERROR(INDEX(EXPENSES!$A$5:$A$126,MATCH(J434,EXPENSES!$L$5:$L$126,0)),""))</f>
        <v/>
      </c>
    </row>
    <row r="435">
      <c r="A435" s="12" t="n"/>
      <c r="B435" s="68" t="n"/>
      <c r="C435" s="68" t="n"/>
      <c r="D435" s="26" t="n"/>
      <c r="E435" s="68" t="n"/>
      <c r="F435" s="68" t="n"/>
      <c r="G435" s="68" t="n"/>
      <c r="H435" s="68" t="n"/>
      <c r="I435" s="68" t="n"/>
      <c r="J435" s="38">
        <f>IF(E435="","",LEFT(E435,6))</f>
        <v/>
      </c>
      <c r="K435" s="39">
        <f>IF(J435="","",IFERROR(INDEX(EXPENSES!$A$5:$A$126,MATCH(J435,EXPENSES!$L$5:$L$126,0)),""))</f>
        <v/>
      </c>
    </row>
    <row r="436">
      <c r="A436" s="12" t="n"/>
      <c r="B436" s="68" t="n"/>
      <c r="C436" s="68" t="n"/>
      <c r="D436" s="26" t="n"/>
      <c r="E436" s="68" t="n"/>
      <c r="F436" s="68" t="n"/>
      <c r="G436" s="68" t="n"/>
      <c r="H436" s="68" t="n"/>
      <c r="I436" s="68" t="n"/>
      <c r="J436" s="38">
        <f>IF(E436="","",LEFT(E436,6))</f>
        <v/>
      </c>
      <c r="K436" s="39">
        <f>IF(J436="","",IFERROR(INDEX(EXPENSES!$A$5:$A$126,MATCH(J436,EXPENSES!$L$5:$L$126,0)),""))</f>
        <v/>
      </c>
    </row>
    <row r="437">
      <c r="A437" s="12" t="n"/>
      <c r="B437" s="68" t="n"/>
      <c r="C437" s="68" t="n"/>
      <c r="D437" s="26" t="n"/>
      <c r="E437" s="68" t="n"/>
      <c r="F437" s="68" t="n"/>
      <c r="G437" s="68" t="n"/>
      <c r="H437" s="68" t="n"/>
      <c r="I437" s="68" t="n"/>
      <c r="J437" s="38">
        <f>IF(E437="","",LEFT(E437,6))</f>
        <v/>
      </c>
      <c r="K437" s="39">
        <f>IF(J437="","",IFERROR(INDEX(EXPENSES!$A$5:$A$126,MATCH(J437,EXPENSES!$L$5:$L$126,0)),""))</f>
        <v/>
      </c>
    </row>
    <row r="438">
      <c r="A438" s="12" t="n"/>
      <c r="B438" s="68" t="n"/>
      <c r="C438" s="68" t="n"/>
      <c r="D438" s="26" t="n"/>
      <c r="E438" s="68" t="n"/>
      <c r="F438" s="68" t="n"/>
      <c r="G438" s="68" t="n"/>
      <c r="H438" s="68" t="n"/>
      <c r="I438" s="68" t="n"/>
      <c r="J438" s="38">
        <f>IF(E438="","",LEFT(E438,6))</f>
        <v/>
      </c>
      <c r="K438" s="39">
        <f>IF(J438="","",IFERROR(INDEX(EXPENSES!$A$5:$A$126,MATCH(J438,EXPENSES!$L$5:$L$126,0)),""))</f>
        <v/>
      </c>
    </row>
    <row r="439">
      <c r="A439" s="12" t="n"/>
      <c r="B439" s="68" t="n"/>
      <c r="C439" s="68" t="n"/>
      <c r="D439" s="26" t="n"/>
      <c r="E439" s="68" t="n"/>
      <c r="F439" s="68" t="n"/>
      <c r="G439" s="68" t="n"/>
      <c r="H439" s="68" t="n"/>
      <c r="I439" s="68" t="n"/>
      <c r="J439" s="38">
        <f>IF(E439="","",LEFT(E439,6))</f>
        <v/>
      </c>
      <c r="K439" s="39">
        <f>IF(J439="","",IFERROR(INDEX(EXPENSES!$A$5:$A$126,MATCH(J439,EXPENSES!$L$5:$L$126,0)),""))</f>
        <v/>
      </c>
    </row>
    <row r="440">
      <c r="A440" s="12" t="n"/>
      <c r="B440" s="68" t="n"/>
      <c r="C440" s="68" t="n"/>
      <c r="D440" s="26" t="n"/>
      <c r="E440" s="68" t="n"/>
      <c r="F440" s="68" t="n"/>
      <c r="G440" s="68" t="n"/>
      <c r="H440" s="68" t="n"/>
      <c r="I440" s="68" t="n"/>
      <c r="J440" s="38">
        <f>IF(E440="","",LEFT(E440,6))</f>
        <v/>
      </c>
      <c r="K440" s="39">
        <f>IF(J440="","",IFERROR(INDEX(EXPENSES!$A$5:$A$126,MATCH(J440,EXPENSES!$L$5:$L$126,0)),""))</f>
        <v/>
      </c>
    </row>
    <row r="441">
      <c r="A441" s="12" t="n"/>
      <c r="B441" s="68" t="n"/>
      <c r="C441" s="68" t="n"/>
      <c r="D441" s="26" t="n"/>
      <c r="E441" s="68" t="n"/>
      <c r="F441" s="68" t="n"/>
      <c r="G441" s="68" t="n"/>
      <c r="H441" s="68" t="n"/>
      <c r="I441" s="68" t="n"/>
      <c r="J441" s="38">
        <f>IF(E441="","",LEFT(E441,6))</f>
        <v/>
      </c>
      <c r="K441" s="39">
        <f>IF(J441="","",IFERROR(INDEX(EXPENSES!$A$5:$A$126,MATCH(J441,EXPENSES!$L$5:$L$126,0)),""))</f>
        <v/>
      </c>
    </row>
    <row r="442">
      <c r="A442" s="12" t="n"/>
      <c r="B442" s="68" t="n"/>
      <c r="C442" s="68" t="n"/>
      <c r="D442" s="26" t="n"/>
      <c r="E442" s="68" t="n"/>
      <c r="F442" s="68" t="n"/>
      <c r="G442" s="68" t="n"/>
      <c r="H442" s="68" t="n"/>
      <c r="I442" s="68" t="n"/>
      <c r="J442" s="38">
        <f>IF(E442="","",LEFT(E442,6))</f>
        <v/>
      </c>
      <c r="K442" s="39">
        <f>IF(J442="","",IFERROR(INDEX(EXPENSES!$A$5:$A$126,MATCH(J442,EXPENSES!$L$5:$L$126,0)),""))</f>
        <v/>
      </c>
    </row>
    <row r="443">
      <c r="A443" s="12" t="n"/>
      <c r="B443" s="68" t="n"/>
      <c r="C443" s="68" t="n"/>
      <c r="D443" s="26" t="n"/>
      <c r="E443" s="68" t="n"/>
      <c r="F443" s="68" t="n"/>
      <c r="G443" s="68" t="n"/>
      <c r="H443" s="68" t="n"/>
      <c r="I443" s="68" t="n"/>
      <c r="J443" s="38">
        <f>IF(E443="","",LEFT(E443,6))</f>
        <v/>
      </c>
      <c r="K443" s="39">
        <f>IF(J443="","",IFERROR(INDEX(EXPENSES!$A$5:$A$126,MATCH(J443,EXPENSES!$L$5:$L$126,0)),""))</f>
        <v/>
      </c>
    </row>
    <row r="444">
      <c r="A444" s="12" t="n"/>
      <c r="B444" s="68" t="n"/>
      <c r="C444" s="68" t="n"/>
      <c r="D444" s="26" t="n"/>
      <c r="E444" s="68" t="n"/>
      <c r="F444" s="68" t="n"/>
      <c r="G444" s="68" t="n"/>
      <c r="H444" s="68" t="n"/>
      <c r="I444" s="68" t="n"/>
      <c r="J444" s="38">
        <f>IF(E444="","",LEFT(E444,6))</f>
        <v/>
      </c>
      <c r="K444" s="39">
        <f>IF(J444="","",IFERROR(INDEX(EXPENSES!$A$5:$A$126,MATCH(J444,EXPENSES!$L$5:$L$126,0)),""))</f>
        <v/>
      </c>
    </row>
    <row r="445">
      <c r="A445" s="12" t="n"/>
      <c r="B445" s="68" t="n"/>
      <c r="C445" s="68" t="n"/>
      <c r="D445" s="26" t="n"/>
      <c r="E445" s="68" t="n"/>
      <c r="F445" s="68" t="n"/>
      <c r="G445" s="68" t="n"/>
      <c r="H445" s="68" t="n"/>
      <c r="I445" s="68" t="n"/>
      <c r="J445" s="38">
        <f>IF(E445="","",LEFT(E445,6))</f>
        <v/>
      </c>
      <c r="K445" s="39">
        <f>IF(J445="","",IFERROR(INDEX(EXPENSES!$A$5:$A$126,MATCH(J445,EXPENSES!$L$5:$L$126,0)),""))</f>
        <v/>
      </c>
    </row>
    <row r="446">
      <c r="A446" s="12" t="n"/>
      <c r="B446" s="68" t="n"/>
      <c r="C446" s="68" t="n"/>
      <c r="D446" s="26" t="n"/>
      <c r="E446" s="68" t="n"/>
      <c r="F446" s="68" t="n"/>
      <c r="G446" s="68" t="n"/>
      <c r="H446" s="68" t="n"/>
      <c r="I446" s="68" t="n"/>
      <c r="J446" s="38">
        <f>IF(E446="","",LEFT(E446,6))</f>
        <v/>
      </c>
      <c r="K446" s="39">
        <f>IF(J446="","",IFERROR(INDEX(EXPENSES!$A$5:$A$126,MATCH(J446,EXPENSES!$L$5:$L$126,0)),""))</f>
        <v/>
      </c>
    </row>
    <row r="447">
      <c r="A447" s="12" t="n"/>
      <c r="B447" s="68" t="n"/>
      <c r="C447" s="68" t="n"/>
      <c r="D447" s="26" t="n"/>
      <c r="E447" s="68" t="n"/>
      <c r="F447" s="68" t="n"/>
      <c r="G447" s="68" t="n"/>
      <c r="H447" s="68" t="n"/>
      <c r="I447" s="68" t="n"/>
      <c r="J447" s="38">
        <f>IF(E447="","",LEFT(E447,6))</f>
        <v/>
      </c>
      <c r="K447" s="39">
        <f>IF(J447="","",IFERROR(INDEX(EXPENSES!$A$5:$A$126,MATCH(J447,EXPENSES!$L$5:$L$126,0)),""))</f>
        <v/>
      </c>
    </row>
    <row r="448">
      <c r="A448" s="12" t="n"/>
      <c r="B448" s="68" t="n"/>
      <c r="C448" s="68" t="n"/>
      <c r="D448" s="26" t="n"/>
      <c r="E448" s="68" t="n"/>
      <c r="F448" s="68" t="n"/>
      <c r="G448" s="68" t="n"/>
      <c r="H448" s="68" t="n"/>
      <c r="I448" s="68" t="n"/>
      <c r="J448" s="38">
        <f>IF(E448="","",LEFT(E448,6))</f>
        <v/>
      </c>
      <c r="K448" s="39">
        <f>IF(J448="","",IFERROR(INDEX(EXPENSES!$A$5:$A$126,MATCH(J448,EXPENSES!$L$5:$L$126,0)),""))</f>
        <v/>
      </c>
    </row>
    <row r="449">
      <c r="A449" s="12" t="n"/>
      <c r="B449" s="68" t="n"/>
      <c r="C449" s="68" t="n"/>
      <c r="D449" s="26" t="n"/>
      <c r="E449" s="68" t="n"/>
      <c r="F449" s="68" t="n"/>
      <c r="G449" s="68" t="n"/>
      <c r="H449" s="68" t="n"/>
      <c r="I449" s="68" t="n"/>
      <c r="J449" s="38">
        <f>IF(E449="","",LEFT(E449,6))</f>
        <v/>
      </c>
      <c r="K449" s="39">
        <f>IF(J449="","",IFERROR(INDEX(EXPENSES!$A$5:$A$126,MATCH(J449,EXPENSES!$L$5:$L$126,0)),""))</f>
        <v/>
      </c>
    </row>
    <row r="450">
      <c r="A450" s="12" t="n"/>
      <c r="B450" s="68" t="n"/>
      <c r="C450" s="68" t="n"/>
      <c r="D450" s="26" t="n"/>
      <c r="E450" s="68" t="n"/>
      <c r="F450" s="68" t="n"/>
      <c r="G450" s="68" t="n"/>
      <c r="H450" s="68" t="n"/>
      <c r="I450" s="68" t="n"/>
      <c r="J450" s="38">
        <f>IF(E450="","",LEFT(E450,6))</f>
        <v/>
      </c>
      <c r="K450" s="39">
        <f>IF(J450="","",IFERROR(INDEX(EXPENSES!$A$5:$A$126,MATCH(J450,EXPENSES!$L$5:$L$126,0)),""))</f>
        <v/>
      </c>
    </row>
    <row r="451">
      <c r="A451" s="12" t="n"/>
      <c r="B451" s="68" t="n"/>
      <c r="C451" s="68" t="n"/>
      <c r="D451" s="26" t="n"/>
      <c r="E451" s="68" t="n"/>
      <c r="F451" s="68" t="n"/>
      <c r="G451" s="68" t="n"/>
      <c r="H451" s="68" t="n"/>
      <c r="I451" s="68" t="n"/>
      <c r="J451" s="38">
        <f>IF(E451="","",LEFT(E451,6))</f>
        <v/>
      </c>
      <c r="K451" s="39">
        <f>IF(J451="","",IFERROR(INDEX(EXPENSES!$A$5:$A$126,MATCH(J451,EXPENSES!$L$5:$L$126,0)),""))</f>
        <v/>
      </c>
    </row>
    <row r="452">
      <c r="A452" s="12" t="n"/>
      <c r="B452" s="68" t="n"/>
      <c r="C452" s="68" t="n"/>
      <c r="D452" s="26" t="n"/>
      <c r="E452" s="68" t="n"/>
      <c r="F452" s="68" t="n"/>
      <c r="G452" s="68" t="n"/>
      <c r="H452" s="68" t="n"/>
      <c r="I452" s="68" t="n"/>
      <c r="J452" s="38">
        <f>IF(E452="","",LEFT(E452,6))</f>
        <v/>
      </c>
      <c r="K452" s="39">
        <f>IF(J452="","",IFERROR(INDEX(EXPENSES!$A$5:$A$126,MATCH(J452,EXPENSES!$L$5:$L$126,0)),""))</f>
        <v/>
      </c>
    </row>
    <row r="453">
      <c r="A453" s="12" t="n"/>
      <c r="B453" s="68" t="n"/>
      <c r="C453" s="68" t="n"/>
      <c r="D453" s="26" t="n"/>
      <c r="E453" s="68" t="n"/>
      <c r="F453" s="68" t="n"/>
      <c r="G453" s="68" t="n"/>
      <c r="H453" s="68" t="n"/>
      <c r="I453" s="68" t="n"/>
      <c r="J453" s="38">
        <f>IF(E453="","",LEFT(E453,6))</f>
        <v/>
      </c>
      <c r="K453" s="39">
        <f>IF(J453="","",IFERROR(INDEX(EXPENSES!$A$5:$A$126,MATCH(J453,EXPENSES!$L$5:$L$126,0)),""))</f>
        <v/>
      </c>
    </row>
    <row r="454">
      <c r="A454" s="12" t="n"/>
      <c r="B454" s="68" t="n"/>
      <c r="C454" s="68" t="n"/>
      <c r="D454" s="26" t="n"/>
      <c r="E454" s="68" t="n"/>
      <c r="F454" s="68" t="n"/>
      <c r="G454" s="68" t="n"/>
      <c r="H454" s="68" t="n"/>
      <c r="I454" s="68" t="n"/>
      <c r="J454" s="38">
        <f>IF(E454="","",LEFT(E454,6))</f>
        <v/>
      </c>
      <c r="K454" s="39">
        <f>IF(J454="","",IFERROR(INDEX(EXPENSES!$A$5:$A$126,MATCH(J454,EXPENSES!$L$5:$L$126,0)),""))</f>
        <v/>
      </c>
    </row>
    <row r="455">
      <c r="A455" s="12" t="n"/>
      <c r="B455" s="68" t="n"/>
      <c r="C455" s="68" t="n"/>
      <c r="D455" s="26" t="n"/>
      <c r="E455" s="68" t="n"/>
      <c r="F455" s="68" t="n"/>
      <c r="G455" s="68" t="n"/>
      <c r="H455" s="68" t="n"/>
      <c r="I455" s="68" t="n"/>
      <c r="J455" s="38">
        <f>IF(E455="","",LEFT(E455,6))</f>
        <v/>
      </c>
      <c r="K455" s="39">
        <f>IF(J455="","",IFERROR(INDEX(EXPENSES!$A$5:$A$126,MATCH(J455,EXPENSES!$L$5:$L$126,0)),""))</f>
        <v/>
      </c>
    </row>
    <row r="456">
      <c r="A456" s="12" t="n"/>
      <c r="B456" s="68" t="n"/>
      <c r="C456" s="68" t="n"/>
      <c r="D456" s="26" t="n"/>
      <c r="E456" s="68" t="n"/>
      <c r="F456" s="68" t="n"/>
      <c r="G456" s="68" t="n"/>
      <c r="H456" s="68" t="n"/>
      <c r="I456" s="68" t="n"/>
      <c r="J456" s="38">
        <f>IF(E456="","",LEFT(E456,6))</f>
        <v/>
      </c>
      <c r="K456" s="39">
        <f>IF(J456="","",IFERROR(INDEX(EXPENSES!$A$5:$A$126,MATCH(J456,EXPENSES!$L$5:$L$126,0)),""))</f>
        <v/>
      </c>
    </row>
    <row r="457">
      <c r="A457" s="12" t="n"/>
      <c r="B457" s="68" t="n"/>
      <c r="C457" s="68" t="n"/>
      <c r="D457" s="26" t="n"/>
      <c r="E457" s="68" t="n"/>
      <c r="F457" s="68" t="n"/>
      <c r="G457" s="68" t="n"/>
      <c r="H457" s="68" t="n"/>
      <c r="I457" s="68" t="n"/>
      <c r="J457" s="38">
        <f>IF(E457="","",LEFT(E457,6))</f>
        <v/>
      </c>
      <c r="K457" s="39">
        <f>IF(J457="","",IFERROR(INDEX(EXPENSES!$A$5:$A$126,MATCH(J457,EXPENSES!$L$5:$L$126,0)),""))</f>
        <v/>
      </c>
    </row>
    <row r="458">
      <c r="A458" s="12" t="n"/>
      <c r="B458" s="68" t="n"/>
      <c r="C458" s="68" t="n"/>
      <c r="D458" s="26" t="n"/>
      <c r="E458" s="68" t="n"/>
      <c r="F458" s="68" t="n"/>
      <c r="G458" s="68" t="n"/>
      <c r="H458" s="68" t="n"/>
      <c r="I458" s="68" t="n"/>
      <c r="J458" s="38">
        <f>IF(E458="","",LEFT(E458,6))</f>
        <v/>
      </c>
      <c r="K458" s="39">
        <f>IF(J458="","",IFERROR(INDEX(EXPENSES!$A$5:$A$126,MATCH(J458,EXPENSES!$L$5:$L$126,0)),""))</f>
        <v/>
      </c>
    </row>
    <row r="459">
      <c r="A459" s="12" t="n"/>
      <c r="B459" s="68" t="n"/>
      <c r="C459" s="68" t="n"/>
      <c r="D459" s="26" t="n"/>
      <c r="E459" s="68" t="n"/>
      <c r="F459" s="68" t="n"/>
      <c r="G459" s="68" t="n"/>
      <c r="H459" s="68" t="n"/>
      <c r="I459" s="68" t="n"/>
      <c r="J459" s="38">
        <f>IF(E459="","",LEFT(E459,6))</f>
        <v/>
      </c>
      <c r="K459" s="39">
        <f>IF(J459="","",IFERROR(INDEX(EXPENSES!$A$5:$A$126,MATCH(J459,EXPENSES!$L$5:$L$126,0)),""))</f>
        <v/>
      </c>
    </row>
    <row r="460">
      <c r="A460" s="12" t="n"/>
      <c r="B460" s="68" t="n"/>
      <c r="C460" s="68" t="n"/>
      <c r="D460" s="26" t="n"/>
      <c r="E460" s="68" t="n"/>
      <c r="F460" s="68" t="n"/>
      <c r="G460" s="68" t="n"/>
      <c r="H460" s="68" t="n"/>
      <c r="I460" s="68" t="n"/>
      <c r="J460" s="38">
        <f>IF(E460="","",LEFT(E460,6))</f>
        <v/>
      </c>
      <c r="K460" s="39">
        <f>IF(J460="","",IFERROR(INDEX(EXPENSES!$A$5:$A$126,MATCH(J460,EXPENSES!$L$5:$L$126,0)),""))</f>
        <v/>
      </c>
    </row>
    <row r="461">
      <c r="A461" s="12" t="n"/>
      <c r="B461" s="68" t="n"/>
      <c r="C461" s="68" t="n"/>
      <c r="D461" s="26" t="n"/>
      <c r="E461" s="68" t="n"/>
      <c r="F461" s="68" t="n"/>
      <c r="G461" s="68" t="n"/>
      <c r="H461" s="68" t="n"/>
      <c r="I461" s="68" t="n"/>
      <c r="J461" s="38">
        <f>IF(E461="","",LEFT(E461,6))</f>
        <v/>
      </c>
      <c r="K461" s="39">
        <f>IF(J461="","",IFERROR(INDEX(EXPENSES!$A$5:$A$126,MATCH(J461,EXPENSES!$L$5:$L$126,0)),""))</f>
        <v/>
      </c>
    </row>
    <row r="462">
      <c r="A462" s="12" t="n"/>
      <c r="B462" s="68" t="n"/>
      <c r="C462" s="68" t="n"/>
      <c r="D462" s="26" t="n"/>
      <c r="E462" s="68" t="n"/>
      <c r="F462" s="68" t="n"/>
      <c r="G462" s="68" t="n"/>
      <c r="H462" s="68" t="n"/>
      <c r="I462" s="68" t="n"/>
      <c r="J462" s="38">
        <f>IF(E462="","",LEFT(E462,6))</f>
        <v/>
      </c>
      <c r="K462" s="39">
        <f>IF(J462="","",IFERROR(INDEX(EXPENSES!$A$5:$A$126,MATCH(J462,EXPENSES!$L$5:$L$126,0)),""))</f>
        <v/>
      </c>
    </row>
    <row r="463">
      <c r="A463" s="12" t="n"/>
      <c r="B463" s="68" t="n"/>
      <c r="C463" s="68" t="n"/>
      <c r="D463" s="26" t="n"/>
      <c r="E463" s="68" t="n"/>
      <c r="F463" s="68" t="n"/>
      <c r="G463" s="68" t="n"/>
      <c r="H463" s="68" t="n"/>
      <c r="I463" s="68" t="n"/>
      <c r="J463" s="38">
        <f>IF(E463="","",LEFT(E463,6))</f>
        <v/>
      </c>
      <c r="K463" s="39">
        <f>IF(J463="","",IFERROR(INDEX(EXPENSES!$A$5:$A$126,MATCH(J463,EXPENSES!$L$5:$L$126,0)),""))</f>
        <v/>
      </c>
    </row>
    <row r="464">
      <c r="A464" s="12" t="n"/>
      <c r="B464" s="68" t="n"/>
      <c r="C464" s="68" t="n"/>
      <c r="D464" s="26" t="n"/>
      <c r="E464" s="68" t="n"/>
      <c r="F464" s="68" t="n"/>
      <c r="G464" s="68" t="n"/>
      <c r="H464" s="68" t="n"/>
      <c r="I464" s="68" t="n"/>
      <c r="J464" s="38">
        <f>IF(E464="","",LEFT(E464,6))</f>
        <v/>
      </c>
      <c r="K464" s="39">
        <f>IF(J464="","",IFERROR(INDEX(EXPENSES!$A$5:$A$126,MATCH(J464,EXPENSES!$L$5:$L$126,0)),""))</f>
        <v/>
      </c>
    </row>
    <row r="465">
      <c r="A465" s="12" t="n"/>
      <c r="B465" s="68" t="n"/>
      <c r="C465" s="68" t="n"/>
      <c r="D465" s="26" t="n"/>
      <c r="E465" s="68" t="n"/>
      <c r="F465" s="68" t="n"/>
      <c r="G465" s="68" t="n"/>
      <c r="H465" s="68" t="n"/>
      <c r="I465" s="68" t="n"/>
      <c r="J465" s="38">
        <f>IF(E465="","",LEFT(E465,6))</f>
        <v/>
      </c>
      <c r="K465" s="39">
        <f>IF(J465="","",IFERROR(INDEX(EXPENSES!$A$5:$A$126,MATCH(J465,EXPENSES!$L$5:$L$126,0)),""))</f>
        <v/>
      </c>
    </row>
    <row r="466">
      <c r="A466" s="12" t="n"/>
      <c r="B466" s="68" t="n"/>
      <c r="C466" s="68" t="n"/>
      <c r="D466" s="26" t="n"/>
      <c r="E466" s="68" t="n"/>
      <c r="F466" s="68" t="n"/>
      <c r="G466" s="68" t="n"/>
      <c r="H466" s="68" t="n"/>
      <c r="I466" s="68" t="n"/>
      <c r="J466" s="38">
        <f>IF(E466="","",LEFT(E466,6))</f>
        <v/>
      </c>
      <c r="K466" s="39">
        <f>IF(J466="","",IFERROR(INDEX(EXPENSES!$A$5:$A$126,MATCH(J466,EXPENSES!$L$5:$L$126,0)),""))</f>
        <v/>
      </c>
    </row>
    <row r="467">
      <c r="A467" s="12" t="n"/>
      <c r="B467" s="68" t="n"/>
      <c r="C467" s="68" t="n"/>
      <c r="D467" s="26" t="n"/>
      <c r="E467" s="68" t="n"/>
      <c r="F467" s="68" t="n"/>
      <c r="G467" s="68" t="n"/>
      <c r="H467" s="68" t="n"/>
      <c r="I467" s="68" t="n"/>
      <c r="J467" s="38">
        <f>IF(E467="","",LEFT(E467,6))</f>
        <v/>
      </c>
      <c r="K467" s="39">
        <f>IF(J467="","",IFERROR(INDEX(EXPENSES!$A$5:$A$126,MATCH(J467,EXPENSES!$L$5:$L$126,0)),""))</f>
        <v/>
      </c>
    </row>
    <row r="468">
      <c r="A468" s="12" t="n"/>
      <c r="B468" s="68" t="n"/>
      <c r="C468" s="68" t="n"/>
      <c r="D468" s="26" t="n"/>
      <c r="E468" s="68" t="n"/>
      <c r="F468" s="68" t="n"/>
      <c r="G468" s="68" t="n"/>
      <c r="H468" s="68" t="n"/>
      <c r="I468" s="68" t="n"/>
      <c r="J468" s="38">
        <f>IF(E468="","",LEFT(E468,6))</f>
        <v/>
      </c>
      <c r="K468" s="39">
        <f>IF(J468="","",IFERROR(INDEX(EXPENSES!$A$5:$A$126,MATCH(J468,EXPENSES!$L$5:$L$126,0)),""))</f>
        <v/>
      </c>
    </row>
    <row r="469">
      <c r="A469" s="12" t="n"/>
      <c r="B469" s="68" t="n"/>
      <c r="C469" s="68" t="n"/>
      <c r="D469" s="26" t="n"/>
      <c r="E469" s="68" t="n"/>
      <c r="F469" s="68" t="n"/>
      <c r="G469" s="68" t="n"/>
      <c r="H469" s="68" t="n"/>
      <c r="I469" s="68" t="n"/>
      <c r="J469" s="38">
        <f>IF(E469="","",LEFT(E469,6))</f>
        <v/>
      </c>
      <c r="K469" s="39">
        <f>IF(J469="","",IFERROR(INDEX(EXPENSES!$A$5:$A$126,MATCH(J469,EXPENSES!$L$5:$L$126,0)),""))</f>
        <v/>
      </c>
    </row>
    <row r="470">
      <c r="A470" s="12" t="n"/>
      <c r="B470" s="68" t="n"/>
      <c r="C470" s="68" t="n"/>
      <c r="D470" s="26" t="n"/>
      <c r="E470" s="68" t="n"/>
      <c r="F470" s="68" t="n"/>
      <c r="G470" s="68" t="n"/>
      <c r="H470" s="68" t="n"/>
      <c r="I470" s="68" t="n"/>
      <c r="J470" s="38">
        <f>IF(E470="","",LEFT(E470,6))</f>
        <v/>
      </c>
      <c r="K470" s="39">
        <f>IF(J470="","",IFERROR(INDEX(EXPENSES!$A$5:$A$126,MATCH(J470,EXPENSES!$L$5:$L$126,0)),""))</f>
        <v/>
      </c>
    </row>
    <row r="471">
      <c r="A471" s="12" t="n"/>
      <c r="B471" s="68" t="n"/>
      <c r="C471" s="68" t="n"/>
      <c r="D471" s="26" t="n"/>
      <c r="E471" s="68" t="n"/>
      <c r="F471" s="68" t="n"/>
      <c r="G471" s="68" t="n"/>
      <c r="H471" s="68" t="n"/>
      <c r="I471" s="68" t="n"/>
      <c r="J471" s="38">
        <f>IF(E471="","",LEFT(E471,6))</f>
        <v/>
      </c>
      <c r="K471" s="39">
        <f>IF(J471="","",IFERROR(INDEX(EXPENSES!$A$5:$A$126,MATCH(J471,EXPENSES!$L$5:$L$126,0)),""))</f>
        <v/>
      </c>
    </row>
    <row r="472">
      <c r="A472" s="12" t="n"/>
      <c r="B472" s="68" t="n"/>
      <c r="C472" s="68" t="n"/>
      <c r="D472" s="26" t="n"/>
      <c r="E472" s="68" t="n"/>
      <c r="F472" s="68" t="n"/>
      <c r="G472" s="68" t="n"/>
      <c r="H472" s="68" t="n"/>
      <c r="I472" s="68" t="n"/>
      <c r="J472" s="38">
        <f>IF(E472="","",LEFT(E472,6))</f>
        <v/>
      </c>
      <c r="K472" s="39">
        <f>IF(J472="","",IFERROR(INDEX(EXPENSES!$A$5:$A$126,MATCH(J472,EXPENSES!$L$5:$L$126,0)),""))</f>
        <v/>
      </c>
    </row>
    <row r="473">
      <c r="A473" s="12" t="n"/>
      <c r="B473" s="68" t="n"/>
      <c r="C473" s="68" t="n"/>
      <c r="D473" s="26" t="n"/>
      <c r="E473" s="68" t="n"/>
      <c r="F473" s="68" t="n"/>
      <c r="G473" s="68" t="n"/>
      <c r="H473" s="68" t="n"/>
      <c r="I473" s="68" t="n"/>
      <c r="J473" s="38">
        <f>IF(E473="","",LEFT(E473,6))</f>
        <v/>
      </c>
      <c r="K473" s="39">
        <f>IF(J473="","",IFERROR(INDEX(EXPENSES!$A$5:$A$126,MATCH(J473,EXPENSES!$L$5:$L$126,0)),""))</f>
        <v/>
      </c>
    </row>
    <row r="474">
      <c r="A474" s="12" t="n"/>
      <c r="B474" s="68" t="n"/>
      <c r="C474" s="68" t="n"/>
      <c r="D474" s="26" t="n"/>
      <c r="E474" s="68" t="n"/>
      <c r="F474" s="68" t="n"/>
      <c r="G474" s="68" t="n"/>
      <c r="H474" s="68" t="n"/>
      <c r="I474" s="68" t="n"/>
      <c r="J474" s="38">
        <f>IF(E474="","",LEFT(E474,6))</f>
        <v/>
      </c>
      <c r="K474" s="39">
        <f>IF(J474="","",IFERROR(INDEX(EXPENSES!$A$5:$A$126,MATCH(J474,EXPENSES!$L$5:$L$126,0)),""))</f>
        <v/>
      </c>
    </row>
    <row r="475">
      <c r="A475" s="12" t="n"/>
      <c r="B475" s="68" t="n"/>
      <c r="C475" s="68" t="n"/>
      <c r="D475" s="26" t="n"/>
      <c r="E475" s="68" t="n"/>
      <c r="F475" s="68" t="n"/>
      <c r="G475" s="68" t="n"/>
      <c r="H475" s="68" t="n"/>
      <c r="I475" s="68" t="n"/>
      <c r="J475" s="38">
        <f>IF(E475="","",LEFT(E475,6))</f>
        <v/>
      </c>
      <c r="K475" s="39">
        <f>IF(J475="","",IFERROR(INDEX(EXPENSES!$A$5:$A$126,MATCH(J475,EXPENSES!$L$5:$L$126,0)),""))</f>
        <v/>
      </c>
    </row>
    <row r="476">
      <c r="A476" s="12" t="n"/>
      <c r="B476" s="68" t="n"/>
      <c r="C476" s="68" t="n"/>
      <c r="D476" s="26" t="n"/>
      <c r="E476" s="68" t="n"/>
      <c r="F476" s="68" t="n"/>
      <c r="G476" s="68" t="n"/>
      <c r="H476" s="68" t="n"/>
      <c r="I476" s="68" t="n"/>
      <c r="J476" s="38">
        <f>IF(E476="","",LEFT(E476,6))</f>
        <v/>
      </c>
      <c r="K476" s="39">
        <f>IF(J476="","",IFERROR(INDEX(EXPENSES!$A$5:$A$126,MATCH(J476,EXPENSES!$L$5:$L$126,0)),""))</f>
        <v/>
      </c>
    </row>
    <row r="477">
      <c r="A477" s="12" t="n"/>
      <c r="B477" s="68" t="n"/>
      <c r="C477" s="68" t="n"/>
      <c r="D477" s="26" t="n"/>
      <c r="E477" s="68" t="n"/>
      <c r="F477" s="68" t="n"/>
      <c r="G477" s="68" t="n"/>
      <c r="H477" s="68" t="n"/>
      <c r="I477" s="68" t="n"/>
      <c r="J477" s="38">
        <f>IF(E477="","",LEFT(E477,6))</f>
        <v/>
      </c>
      <c r="K477" s="39">
        <f>IF(J477="","",IFERROR(INDEX(EXPENSES!$A$5:$A$126,MATCH(J477,EXPENSES!$L$5:$L$126,0)),""))</f>
        <v/>
      </c>
    </row>
    <row r="478">
      <c r="A478" s="12" t="n"/>
      <c r="B478" s="68" t="n"/>
      <c r="C478" s="68" t="n"/>
      <c r="D478" s="26" t="n"/>
      <c r="E478" s="68" t="n"/>
      <c r="F478" s="68" t="n"/>
      <c r="G478" s="68" t="n"/>
      <c r="H478" s="68" t="n"/>
      <c r="I478" s="68" t="n"/>
      <c r="J478" s="38">
        <f>IF(E478="","",LEFT(E478,6))</f>
        <v/>
      </c>
      <c r="K478" s="39">
        <f>IF(J478="","",IFERROR(INDEX(EXPENSES!$A$5:$A$126,MATCH(J478,EXPENSES!$L$5:$L$126,0)),""))</f>
        <v/>
      </c>
    </row>
    <row r="479">
      <c r="A479" s="12" t="n"/>
      <c r="B479" s="68" t="n"/>
      <c r="C479" s="68" t="n"/>
      <c r="D479" s="26" t="n"/>
      <c r="E479" s="68" t="n"/>
      <c r="F479" s="68" t="n"/>
      <c r="G479" s="68" t="n"/>
      <c r="H479" s="68" t="n"/>
      <c r="I479" s="68" t="n"/>
      <c r="J479" s="38">
        <f>IF(E479="","",LEFT(E479,6))</f>
        <v/>
      </c>
      <c r="K479" s="39">
        <f>IF(J479="","",IFERROR(INDEX(EXPENSES!$A$5:$A$126,MATCH(J479,EXPENSES!$L$5:$L$126,0)),""))</f>
        <v/>
      </c>
    </row>
    <row r="480">
      <c r="A480" s="12" t="n"/>
      <c r="B480" s="68" t="n"/>
      <c r="C480" s="68" t="n"/>
      <c r="D480" s="26" t="n"/>
      <c r="E480" s="68" t="n"/>
      <c r="F480" s="68" t="n"/>
      <c r="G480" s="68" t="n"/>
      <c r="H480" s="68" t="n"/>
      <c r="I480" s="68" t="n"/>
      <c r="J480" s="38">
        <f>IF(E480="","",LEFT(E480,6))</f>
        <v/>
      </c>
      <c r="K480" s="39">
        <f>IF(J480="","",IFERROR(INDEX(EXPENSES!$A$5:$A$126,MATCH(J480,EXPENSES!$L$5:$L$126,0)),""))</f>
        <v/>
      </c>
    </row>
    <row r="481">
      <c r="A481" s="12" t="n"/>
      <c r="B481" s="68" t="n"/>
      <c r="C481" s="68" t="n"/>
      <c r="D481" s="26" t="n"/>
      <c r="E481" s="68" t="n"/>
      <c r="F481" s="68" t="n"/>
      <c r="G481" s="68" t="n"/>
      <c r="H481" s="68" t="n"/>
      <c r="I481" s="68" t="n"/>
      <c r="J481" s="38">
        <f>IF(E481="","",LEFT(E481,6))</f>
        <v/>
      </c>
      <c r="K481" s="39">
        <f>IF(J481="","",IFERROR(INDEX(EXPENSES!$A$5:$A$126,MATCH(J481,EXPENSES!$L$5:$L$126,0)),""))</f>
        <v/>
      </c>
    </row>
    <row r="482">
      <c r="A482" s="12" t="n"/>
      <c r="B482" s="68" t="n"/>
      <c r="C482" s="68" t="n"/>
      <c r="D482" s="26" t="n"/>
      <c r="E482" s="68" t="n"/>
      <c r="F482" s="68" t="n"/>
      <c r="G482" s="68" t="n"/>
      <c r="H482" s="68" t="n"/>
      <c r="I482" s="68" t="n"/>
      <c r="J482" s="38">
        <f>IF(E482="","",LEFT(E482,6))</f>
        <v/>
      </c>
      <c r="K482" s="39">
        <f>IF(J482="","",IFERROR(INDEX(EXPENSES!$A$5:$A$126,MATCH(J482,EXPENSES!$L$5:$L$126,0)),""))</f>
        <v/>
      </c>
    </row>
    <row r="483">
      <c r="A483" s="12" t="n"/>
      <c r="B483" s="68" t="n"/>
      <c r="C483" s="68" t="n"/>
      <c r="D483" s="26" t="n"/>
      <c r="E483" s="68" t="n"/>
      <c r="F483" s="68" t="n"/>
      <c r="G483" s="68" t="n"/>
      <c r="H483" s="68" t="n"/>
      <c r="I483" s="68" t="n"/>
      <c r="J483" s="38">
        <f>IF(E483="","",LEFT(E483,6))</f>
        <v/>
      </c>
      <c r="K483" s="39">
        <f>IF(J483="","",IFERROR(INDEX(EXPENSES!$A$5:$A$126,MATCH(J483,EXPENSES!$L$5:$L$126,0)),""))</f>
        <v/>
      </c>
    </row>
    <row r="484">
      <c r="A484" s="12" t="n"/>
      <c r="B484" s="68" t="n"/>
      <c r="C484" s="68" t="n"/>
      <c r="D484" s="26" t="n"/>
      <c r="E484" s="68" t="n"/>
      <c r="F484" s="68" t="n"/>
      <c r="G484" s="68" t="n"/>
      <c r="H484" s="68" t="n"/>
      <c r="I484" s="68" t="n"/>
      <c r="J484" s="38">
        <f>IF(E484="","",LEFT(E484,6))</f>
        <v/>
      </c>
      <c r="K484" s="39">
        <f>IF(J484="","",IFERROR(INDEX(EXPENSES!$A$5:$A$126,MATCH(J484,EXPENSES!$L$5:$L$126,0)),""))</f>
        <v/>
      </c>
    </row>
    <row r="485">
      <c r="A485" s="12" t="n"/>
      <c r="B485" s="68" t="n"/>
      <c r="C485" s="68" t="n"/>
      <c r="D485" s="26" t="n"/>
      <c r="E485" s="68" t="n"/>
      <c r="F485" s="68" t="n"/>
      <c r="G485" s="68" t="n"/>
      <c r="H485" s="68" t="n"/>
      <c r="I485" s="68" t="n"/>
      <c r="J485" s="38">
        <f>IF(E485="","",LEFT(E485,6))</f>
        <v/>
      </c>
      <c r="K485" s="39">
        <f>IF(J485="","",IFERROR(INDEX(EXPENSES!$A$5:$A$126,MATCH(J485,EXPENSES!$L$5:$L$126,0)),""))</f>
        <v/>
      </c>
    </row>
    <row r="486">
      <c r="A486" s="12" t="n"/>
      <c r="B486" s="68" t="n"/>
      <c r="C486" s="68" t="n"/>
      <c r="D486" s="26" t="n"/>
      <c r="E486" s="68" t="n"/>
      <c r="F486" s="68" t="n"/>
      <c r="G486" s="68" t="n"/>
      <c r="H486" s="68" t="n"/>
      <c r="I486" s="68" t="n"/>
      <c r="J486" s="38">
        <f>IF(E486="","",LEFT(E486,6))</f>
        <v/>
      </c>
      <c r="K486" s="39">
        <f>IF(J486="","",IFERROR(INDEX(EXPENSES!$A$5:$A$126,MATCH(J486,EXPENSES!$L$5:$L$126,0)),""))</f>
        <v/>
      </c>
    </row>
    <row r="487">
      <c r="A487" s="12" t="n"/>
      <c r="B487" s="68" t="n"/>
      <c r="C487" s="68" t="n"/>
      <c r="D487" s="26" t="n"/>
      <c r="E487" s="68" t="n"/>
      <c r="F487" s="68" t="n"/>
      <c r="G487" s="68" t="n"/>
      <c r="H487" s="68" t="n"/>
      <c r="I487" s="68" t="n"/>
      <c r="J487" s="38">
        <f>IF(E487="","",LEFT(E487,6))</f>
        <v/>
      </c>
      <c r="K487" s="39">
        <f>IF(J487="","",IFERROR(INDEX(EXPENSES!$A$5:$A$126,MATCH(J487,EXPENSES!$L$5:$L$126,0)),""))</f>
        <v/>
      </c>
    </row>
    <row r="488">
      <c r="A488" s="12" t="n"/>
      <c r="B488" s="68" t="n"/>
      <c r="C488" s="68" t="n"/>
      <c r="D488" s="26" t="n"/>
      <c r="E488" s="68" t="n"/>
      <c r="F488" s="68" t="n"/>
      <c r="G488" s="68" t="n"/>
      <c r="H488" s="68" t="n"/>
      <c r="I488" s="68" t="n"/>
      <c r="J488" s="38">
        <f>IF(E488="","",LEFT(E488,6))</f>
        <v/>
      </c>
      <c r="K488" s="39">
        <f>IF(J488="","",IFERROR(INDEX(EXPENSES!$A$5:$A$126,MATCH(J488,EXPENSES!$L$5:$L$126,0)),""))</f>
        <v/>
      </c>
    </row>
    <row r="489">
      <c r="A489" s="12" t="n"/>
      <c r="B489" s="68" t="n"/>
      <c r="C489" s="68" t="n"/>
      <c r="D489" s="26" t="n"/>
      <c r="E489" s="68" t="n"/>
      <c r="F489" s="68" t="n"/>
      <c r="G489" s="68" t="n"/>
      <c r="H489" s="68" t="n"/>
      <c r="I489" s="68" t="n"/>
      <c r="J489" s="38">
        <f>IF(E489="","",LEFT(E489,6))</f>
        <v/>
      </c>
      <c r="K489" s="39">
        <f>IF(J489="","",IFERROR(INDEX(EXPENSES!$A$5:$A$126,MATCH(J489,EXPENSES!$L$5:$L$126,0)),""))</f>
        <v/>
      </c>
    </row>
    <row r="490">
      <c r="A490" s="12" t="n"/>
      <c r="B490" s="68" t="n"/>
      <c r="C490" s="68" t="n"/>
      <c r="D490" s="26" t="n"/>
      <c r="E490" s="68" t="n"/>
      <c r="F490" s="68" t="n"/>
      <c r="G490" s="68" t="n"/>
      <c r="H490" s="68" t="n"/>
      <c r="I490" s="68" t="n"/>
      <c r="J490" s="38">
        <f>IF(E490="","",LEFT(E490,6))</f>
        <v/>
      </c>
      <c r="K490" s="39">
        <f>IF(J490="","",IFERROR(INDEX(EXPENSES!$A$5:$A$126,MATCH(J490,EXPENSES!$L$5:$L$126,0)),""))</f>
        <v/>
      </c>
    </row>
    <row r="491">
      <c r="A491" s="12" t="n"/>
      <c r="B491" s="68" t="n"/>
      <c r="C491" s="68" t="n"/>
      <c r="D491" s="26" t="n"/>
      <c r="E491" s="68" t="n"/>
      <c r="F491" s="68" t="n"/>
      <c r="G491" s="68" t="n"/>
      <c r="H491" s="68" t="n"/>
      <c r="I491" s="68" t="n"/>
      <c r="J491" s="38">
        <f>IF(E491="","",LEFT(E491,6))</f>
        <v/>
      </c>
      <c r="K491" s="39">
        <f>IF(J491="","",IFERROR(INDEX(EXPENSES!$A$5:$A$126,MATCH(J491,EXPENSES!$L$5:$L$126,0)),""))</f>
        <v/>
      </c>
    </row>
    <row r="492">
      <c r="A492" s="12" t="n"/>
      <c r="B492" s="68" t="n"/>
      <c r="C492" s="68" t="n"/>
      <c r="D492" s="26" t="n"/>
      <c r="E492" s="68" t="n"/>
      <c r="F492" s="68" t="n"/>
      <c r="G492" s="68" t="n"/>
      <c r="H492" s="68" t="n"/>
      <c r="I492" s="68" t="n"/>
      <c r="J492" s="38">
        <f>IF(E492="","",LEFT(E492,6))</f>
        <v/>
      </c>
      <c r="K492" s="39">
        <f>IF(J492="","",IFERROR(INDEX(EXPENSES!$A$5:$A$126,MATCH(J492,EXPENSES!$L$5:$L$126,0)),""))</f>
        <v/>
      </c>
    </row>
    <row r="493">
      <c r="A493" s="12" t="n"/>
      <c r="B493" s="68" t="n"/>
      <c r="C493" s="68" t="n"/>
      <c r="D493" s="26" t="n"/>
      <c r="E493" s="68" t="n"/>
      <c r="F493" s="68" t="n"/>
      <c r="G493" s="68" t="n"/>
      <c r="H493" s="68" t="n"/>
      <c r="I493" s="68" t="n"/>
      <c r="J493" s="38">
        <f>IF(E493="","",LEFT(E493,6))</f>
        <v/>
      </c>
      <c r="K493" s="39">
        <f>IF(J493="","",IFERROR(INDEX(EXPENSES!$A$5:$A$126,MATCH(J493,EXPENSES!$L$5:$L$126,0)),""))</f>
        <v/>
      </c>
    </row>
    <row r="494">
      <c r="A494" s="12" t="n"/>
      <c r="B494" s="68" t="n"/>
      <c r="C494" s="68" t="n"/>
      <c r="D494" s="26" t="n"/>
      <c r="E494" s="68" t="n"/>
      <c r="F494" s="68" t="n"/>
      <c r="G494" s="68" t="n"/>
      <c r="H494" s="68" t="n"/>
      <c r="I494" s="68" t="n"/>
      <c r="J494" s="38">
        <f>IF(E494="","",LEFT(E494,6))</f>
        <v/>
      </c>
      <c r="K494" s="39">
        <f>IF(J494="","",IFERROR(INDEX(EXPENSES!$A$5:$A$126,MATCH(J494,EXPENSES!$L$5:$L$126,0)),""))</f>
        <v/>
      </c>
    </row>
    <row r="495">
      <c r="A495" s="12" t="n"/>
      <c r="B495" s="68" t="n"/>
      <c r="C495" s="68" t="n"/>
      <c r="D495" s="26" t="n"/>
      <c r="E495" s="68" t="n"/>
      <c r="F495" s="68" t="n"/>
      <c r="G495" s="68" t="n"/>
      <c r="H495" s="68" t="n"/>
      <c r="I495" s="68" t="n"/>
      <c r="J495" s="38">
        <f>IF(E495="","",LEFT(E495,6))</f>
        <v/>
      </c>
      <c r="K495" s="39">
        <f>IF(J495="","",IFERROR(INDEX(EXPENSES!$A$5:$A$126,MATCH(J495,EXPENSES!$L$5:$L$126,0)),""))</f>
        <v/>
      </c>
    </row>
    <row r="496">
      <c r="A496" s="12" t="n"/>
      <c r="B496" s="68" t="n"/>
      <c r="C496" s="68" t="n"/>
      <c r="D496" s="26" t="n"/>
      <c r="E496" s="68" t="n"/>
      <c r="F496" s="68" t="n"/>
      <c r="G496" s="68" t="n"/>
      <c r="H496" s="68" t="n"/>
      <c r="I496" s="68" t="n"/>
      <c r="J496" s="38">
        <f>IF(E496="","",LEFT(E496,6))</f>
        <v/>
      </c>
      <c r="K496" s="39">
        <f>IF(J496="","",IFERROR(INDEX(EXPENSES!$A$5:$A$126,MATCH(J496,EXPENSES!$L$5:$L$126,0)),""))</f>
        <v/>
      </c>
    </row>
    <row r="497">
      <c r="A497" s="12" t="n"/>
      <c r="B497" s="68" t="n"/>
      <c r="C497" s="68" t="n"/>
      <c r="D497" s="26" t="n"/>
      <c r="E497" s="68" t="n"/>
      <c r="F497" s="68" t="n"/>
      <c r="G497" s="68" t="n"/>
      <c r="H497" s="68" t="n"/>
      <c r="I497" s="68" t="n"/>
      <c r="J497" s="38">
        <f>IF(E497="","",LEFT(E497,6))</f>
        <v/>
      </c>
      <c r="K497" s="39">
        <f>IF(J497="","",IFERROR(INDEX(EXPENSES!$A$5:$A$126,MATCH(J497,EXPENSES!$L$5:$L$126,0)),""))</f>
        <v/>
      </c>
    </row>
    <row r="498">
      <c r="A498" s="12" t="n"/>
      <c r="B498" s="68" t="n"/>
      <c r="C498" s="68" t="n"/>
      <c r="D498" s="26" t="n"/>
      <c r="E498" s="68" t="n"/>
      <c r="F498" s="68" t="n"/>
      <c r="G498" s="68" t="n"/>
      <c r="H498" s="68" t="n"/>
      <c r="I498" s="68" t="n"/>
      <c r="J498" s="38">
        <f>IF(E498="","",LEFT(E498,6))</f>
        <v/>
      </c>
      <c r="K498" s="39">
        <f>IF(J498="","",IFERROR(INDEX(EXPENSES!$A$5:$A$126,MATCH(J498,EXPENSES!$L$5:$L$126,0)),""))</f>
        <v/>
      </c>
    </row>
    <row r="499">
      <c r="A499" s="12" t="n"/>
      <c r="B499" s="68" t="n"/>
      <c r="C499" s="68" t="n"/>
      <c r="D499" s="26" t="n"/>
      <c r="E499" s="68" t="n"/>
      <c r="F499" s="68" t="n"/>
      <c r="G499" s="68" t="n"/>
      <c r="H499" s="68" t="n"/>
      <c r="I499" s="68" t="n"/>
      <c r="J499" s="38">
        <f>IF(E499="","",LEFT(E499,6))</f>
        <v/>
      </c>
      <c r="K499" s="39">
        <f>IF(J499="","",IFERROR(INDEX(EXPENSES!$A$5:$A$126,MATCH(J499,EXPENSES!$L$5:$L$126,0)),""))</f>
        <v/>
      </c>
    </row>
    <row r="500">
      <c r="A500" s="12" t="n"/>
      <c r="B500" s="68" t="n"/>
      <c r="C500" s="68" t="n"/>
      <c r="D500" s="26" t="n"/>
      <c r="E500" s="68" t="n"/>
      <c r="F500" s="68" t="n"/>
      <c r="G500" s="68" t="n"/>
      <c r="H500" s="68" t="n"/>
      <c r="I500" s="68" t="n"/>
      <c r="J500" s="38">
        <f>IF(E500="","",LEFT(E500,6))</f>
        <v/>
      </c>
      <c r="K500" s="39">
        <f>IF(J500="","",IFERROR(INDEX(EXPENSES!$A$5:$A$126,MATCH(J500,EXPENSES!$L$5:$L$126,0)),""))</f>
        <v/>
      </c>
    </row>
    <row r="501">
      <c r="A501" s="12" t="n"/>
      <c r="B501" s="68" t="n"/>
      <c r="C501" s="68" t="n"/>
      <c r="D501" s="26" t="n"/>
      <c r="E501" s="68" t="n"/>
      <c r="F501" s="68" t="n"/>
      <c r="G501" s="68" t="n"/>
      <c r="H501" s="68" t="n"/>
      <c r="I501" s="68" t="n"/>
      <c r="J501" s="38">
        <f>IF(E501="","",LEFT(E501,6))</f>
        <v/>
      </c>
      <c r="K501" s="39">
        <f>IF(J501="","",IFERROR(INDEX(EXPENSES!$A$5:$A$126,MATCH(J501,EXPENSES!$L$5:$L$126,0)),""))</f>
        <v/>
      </c>
    </row>
    <row r="502">
      <c r="A502" s="12" t="n"/>
      <c r="B502" s="68" t="n"/>
      <c r="C502" s="68" t="n"/>
      <c r="D502" s="26" t="n"/>
      <c r="E502" s="68" t="n"/>
      <c r="F502" s="68" t="n"/>
      <c r="G502" s="68" t="n"/>
      <c r="H502" s="68" t="n"/>
      <c r="I502" s="68" t="n"/>
      <c r="J502" s="38">
        <f>IF(E502="","",LEFT(E502,6))</f>
        <v/>
      </c>
      <c r="K502" s="39">
        <f>IF(J502="","",IFERROR(INDEX(EXPENSES!$A$5:$A$126,MATCH(J502,EXPENSES!$L$5:$L$126,0)),""))</f>
        <v/>
      </c>
    </row>
    <row r="503">
      <c r="A503" s="12" t="n"/>
      <c r="B503" s="68" t="n"/>
      <c r="C503" s="68" t="n"/>
      <c r="D503" s="26" t="n"/>
      <c r="E503" s="68" t="n"/>
      <c r="F503" s="68" t="n"/>
      <c r="G503" s="68" t="n"/>
      <c r="H503" s="68" t="n"/>
      <c r="I503" s="68" t="n"/>
      <c r="J503" s="38">
        <f>IF(E503="","",LEFT(E503,6))</f>
        <v/>
      </c>
      <c r="K503" s="39">
        <f>IF(J503="","",IFERROR(INDEX(EXPENSES!$A$5:$A$126,MATCH(J503,EXPENSES!$L$5:$L$126,0)),""))</f>
        <v/>
      </c>
    </row>
    <row r="504">
      <c r="A504" s="12" t="n"/>
      <c r="B504" s="68" t="n"/>
      <c r="C504" s="68" t="n"/>
      <c r="D504" s="26" t="n"/>
      <c r="E504" s="68" t="n"/>
      <c r="F504" s="68" t="n"/>
      <c r="G504" s="68" t="n"/>
      <c r="H504" s="68" t="n"/>
      <c r="I504" s="68" t="n"/>
      <c r="J504" s="38">
        <f>IF(E504="","",LEFT(E504,6))</f>
        <v/>
      </c>
      <c r="K504" s="39">
        <f>IF(J504="","",IFERROR(INDEX(EXPENSES!$A$5:$A$126,MATCH(J504,EXPENSES!$L$5:$L$126,0)),""))</f>
        <v/>
      </c>
    </row>
    <row r="505">
      <c r="C505" s="2" t="inlineStr">
        <is>
          <t>TOTAL</t>
        </is>
      </c>
      <c r="D505" s="15">
        <f>SUM(D5:D504)</f>
        <v/>
      </c>
    </row>
  </sheetData>
  <autoFilter ref="A4:K504"/>
  <mergeCells count="2">
    <mergeCell ref="A2:K2"/>
    <mergeCell ref="A1:K1"/>
  </mergeCells>
  <conditionalFormatting sqref="E5:E504">
    <cfRule type="expression" priority="2" dxfId="5">
      <formula>AND($D5&lt;&gt;"",$E5="")</formula>
    </cfRule>
  </conditionalFormatting>
  <conditionalFormatting sqref="N6">
    <cfRule type="cellIs" priority="3" operator="greaterThan" dxfId="1">
      <formula>0</formula>
    </cfRule>
  </conditionalFormatting>
  <dataValidations count="5">
    <dataValidation sqref="H5:H504" showDropDown="0" showInputMessage="0" showErrorMessage="0" allowBlank="1" type="list">
      <formula1>"Yes,No"</formula1>
      <formula2>0</formula2>
    </dataValidation>
    <dataValidation sqref="A5:A504" showDropDown="0" showInputMessage="0" showErrorMessage="1" allowBlank="1" error="Enter a valid date (mm/dd/yyyy)" type="date" operator="greaterThan">
      <formula1>36526</formula1>
      <formula2>0</formula2>
    </dataValidation>
    <dataValidation sqref="E5:E504" showDropDown="0" showInputMessage="0" showErrorMessage="0" allowBlank="1" type="list">
      <formula1>LISTS!$J$2:$J$106</formula1>
    </dataValidation>
    <dataValidation sqref="F5:F504" showDropDown="0" showInputMessage="0" showErrorMessage="0" allowBlank="1" type="list">
      <formula1>LISTS!$N$2:$N$6</formula1>
    </dataValidation>
    <dataValidation sqref="G5:G504" showDropDown="0" showInputMessage="0" showErrorMessage="0" allowBlank="1" type="list">
      <formula1>LISTS!$P$2:$P$8</formula1>
    </dataValidation>
  </dataValidations>
  <pageMargins left="0.75" right="0.75" top="1" bottom="1" header="0.511811023622047" footer="0.511811023622047"/>
  <pageSetup orientation="portrait" fitToHeight="0" horizontalDpi="300" verticalDpi="300"/>
</worksheet>
</file>

<file path=xl/worksheets/sheet8.xml><?xml version="1.0" encoding="utf-8"?>
<worksheet xmlns="http://schemas.openxmlformats.org/spreadsheetml/2006/main">
  <sheetPr>
    <tabColor theme="4" tint="0.7999816888943144"/>
    <outlinePr summaryBelow="1" summaryRight="1"/>
    <pageSetUpPr fitToPage="1"/>
  </sheetPr>
  <dimension ref="A1:K135"/>
  <sheetViews>
    <sheetView showGridLines="0" zoomScaleNormal="100" workbookViewId="0">
      <pane xSplit="2" ySplit="6" topLeftCell="C7" activePane="bottomRight" state="frozen"/>
      <selection pane="topRight" activeCell="C1" sqref="C1"/>
      <selection pane="bottomLeft" activeCell="A7" sqref="A7"/>
      <selection pane="bottomRight" activeCell="A1" sqref="A1:K1"/>
    </sheetView>
  </sheetViews>
  <sheetFormatPr baseColWidth="10" defaultColWidth="8.6640625" defaultRowHeight="15"/>
  <cols>
    <col width="9" customWidth="1" style="107" min="1" max="1"/>
    <col width="38" customWidth="1" style="107" min="2" max="2"/>
    <col width="13" customWidth="1" style="107" min="3" max="3"/>
    <col width="15" customWidth="1" style="107" min="4" max="4"/>
    <col width="14" customWidth="1" style="107" min="5" max="5"/>
    <col width="15" customWidth="1" style="107" min="6" max="7"/>
    <col width="17" customWidth="1" style="107" min="8" max="9"/>
    <col width="15" customWidth="1" style="107" min="10" max="11"/>
  </cols>
  <sheetData>
    <row r="1" ht="30" customHeight="1" s="107">
      <c r="A1" s="106" t="inlineStr">
        <is>
          <t>Expenditure Summary</t>
        </is>
      </c>
    </row>
    <row r="2" ht="42" customHeight="1" s="107">
      <c r="A2" s="111" t="inlineStr">
        <is>
          <t>Totals from the Expenditure Log for each expense line. Pick a month in C4 to see that month's spending against the budget and the support plan, and cumulative spending from the plan start month through the selected month. Nothing else to enter on this tab.</t>
        </is>
      </c>
    </row>
    <row r="4">
      <c r="A4" s="135" t="inlineStr">
        <is>
          <t>Select month:</t>
        </is>
      </c>
      <c r="C4" s="41" t="n"/>
      <c r="E4" s="132" t="inlineStr">
        <is>
          <t>Month # of plan:</t>
        </is>
      </c>
      <c r="F4" s="40">
        <f>(YEAR($C$4)-YEAR('SUPPORT PLAN'!$C$4))*12+MONTH($C$4)-MONTH('SUPPORT PLAN'!$C$4)+1</f>
        <v/>
      </c>
      <c r="G4" s="132" t="inlineStr">
        <is>
          <t>Plan start:</t>
        </is>
      </c>
      <c r="H4" s="42">
        <f>'SUPPORT PLAN'!$C$4</f>
        <v/>
      </c>
    </row>
    <row r="6" ht="54" customHeight="1" s="107">
      <c r="A6" s="13" t="inlineStr">
        <is>
          <t>Code</t>
        </is>
      </c>
      <c r="B6" s="13" t="inlineStr">
        <is>
          <t>Expense</t>
        </is>
      </c>
      <c r="C6" s="13" t="inlineStr">
        <is>
          <t>Monthly Budget</t>
        </is>
      </c>
      <c r="D6" s="13" t="inlineStr">
        <is>
          <t>Planned Support — All Sources (Selected Month)</t>
        </is>
      </c>
      <c r="E6" s="13" t="inlineStr">
        <is>
          <t>Spent in Selected Month</t>
        </is>
      </c>
      <c r="F6" s="13" t="inlineStr">
        <is>
          <t>Church-Paid in Selected Month</t>
        </is>
      </c>
      <c r="G6" s="13" t="inlineStr">
        <is>
          <t>Over / (Under) Budget — Month</t>
        </is>
      </c>
      <c r="H6" s="13" t="inlineStr">
        <is>
          <t>Cumulative Spent (Plan Start → Selected Month)</t>
        </is>
      </c>
      <c r="I6" s="13" t="inlineStr">
        <is>
          <t>Cumulative Budget (Plan Start → Selected Month)</t>
        </is>
      </c>
      <c r="J6" s="13" t="inlineStr">
        <is>
          <t>Cumulative Over / (Under)</t>
        </is>
      </c>
      <c r="K6" s="13" t="inlineStr">
        <is>
          <t>Total Recorded (All Dates)</t>
        </is>
      </c>
    </row>
    <row r="7">
      <c r="A7" s="23" t="n"/>
      <c r="B7" s="113" t="inlineStr">
        <is>
          <t>TITHES &amp; OFFERINGS</t>
        </is>
      </c>
      <c r="C7" s="24">
        <f>SUM(C8:C12)</f>
        <v/>
      </c>
      <c r="D7" s="24">
        <f>SUM(D8:D12)</f>
        <v/>
      </c>
      <c r="E7" s="24">
        <f>SUM(E8:E12)</f>
        <v/>
      </c>
      <c r="F7" s="24">
        <f>SUM(F8:F12)</f>
        <v/>
      </c>
      <c r="G7" s="24">
        <f>SUM(G8:G12)</f>
        <v/>
      </c>
      <c r="H7" s="24">
        <f>SUM(H8:H12)</f>
        <v/>
      </c>
      <c r="I7" s="24">
        <f>SUM(I8:I12)</f>
        <v/>
      </c>
      <c r="J7" s="24">
        <f>SUM(J8:J12)</f>
        <v/>
      </c>
      <c r="K7" s="24">
        <f>SUM(K8:K12)</f>
        <v/>
      </c>
    </row>
    <row r="8">
      <c r="A8" s="35">
        <f>EXPENSES!L6</f>
        <v/>
      </c>
      <c r="B8" s="36">
        <f>EXPENSES!B6</f>
        <v/>
      </c>
      <c r="C8" s="31">
        <f>EXPENSES!E6</f>
        <v/>
      </c>
      <c r="D8" s="31">
        <f>IF(AND($F$4&gt;=1,$F$4&lt;=3),CHOOSE($F$4,'SUPPORT PLAN'!$M8,'SUPPORT PLAN'!$T8,'SUPPORT PLAN'!$AA8),0)</f>
        <v/>
      </c>
      <c r="E8" s="18">
        <f>SUMIFS('EXPENDITURE LOG'!$D$5:$D$504,'EXPENDITURE LOG'!$J$5:$J$504,$A8,'EXPENDITURE LOG'!$A$5:$A$504,"&gt;="&amp;$C$4,'EXPENDITURE LOG'!$A$5:$A$504,"&lt;"&amp;EDATE($C$4,1))</f>
        <v/>
      </c>
      <c r="F8" s="18">
        <f>SUMIFS('EXPENDITURE LOG'!$D$5:$D$504,'EXPENDITURE LOG'!$J$5:$J$504,$A8,'EXPENDITURE LOG'!$A$5:$A$504,"&gt;="&amp;$C$4,'EXPENDITURE LOG'!$A$5:$A$504,"&lt;"&amp;EDATE($C$4,1),'EXPENDITURE LOG'!$F$5:$F$504,"Church*")</f>
        <v/>
      </c>
      <c r="G8" s="18">
        <f>E8-C8</f>
        <v/>
      </c>
      <c r="H8" s="18">
        <f>SUMIFS('EXPENDITURE LOG'!$D$5:$D$504,'EXPENDITURE LOG'!$J$5:$J$504,$A8,'EXPENDITURE LOG'!$A$5:$A$504,"&gt;="&amp;'SUPPORT PLAN'!$C$4,'EXPENDITURE LOG'!$A$5:$A$504,"&lt;"&amp;EDATE($C$4,1))</f>
        <v/>
      </c>
      <c r="I8" s="18">
        <f>C8*MAX(0,$F$4)</f>
        <v/>
      </c>
      <c r="J8" s="18">
        <f>H8-I8</f>
        <v/>
      </c>
      <c r="K8" s="15">
        <f>SUMIFS('EXPENDITURE LOG'!$D$5:$D$504,'EXPENDITURE LOG'!$J$5:$J$504,$A8)</f>
        <v/>
      </c>
    </row>
    <row r="9">
      <c r="A9" s="35">
        <f>EXPENSES!L7</f>
        <v/>
      </c>
      <c r="B9" s="36">
        <f>EXPENSES!B7</f>
        <v/>
      </c>
      <c r="C9" s="31">
        <f>EXPENSES!E7</f>
        <v/>
      </c>
      <c r="D9" s="31">
        <f>IF(AND($F$4&gt;=1,$F$4&lt;=3),CHOOSE($F$4,'SUPPORT PLAN'!$M9,'SUPPORT PLAN'!$T9,'SUPPORT PLAN'!$AA9),0)</f>
        <v/>
      </c>
      <c r="E9" s="18">
        <f>SUMIFS('EXPENDITURE LOG'!$D$5:$D$504,'EXPENDITURE LOG'!$J$5:$J$504,$A9,'EXPENDITURE LOG'!$A$5:$A$504,"&gt;="&amp;$C$4,'EXPENDITURE LOG'!$A$5:$A$504,"&lt;"&amp;EDATE($C$4,1))</f>
        <v/>
      </c>
      <c r="F9" s="18">
        <f>SUMIFS('EXPENDITURE LOG'!$D$5:$D$504,'EXPENDITURE LOG'!$J$5:$J$504,$A9,'EXPENDITURE LOG'!$A$5:$A$504,"&gt;="&amp;$C$4,'EXPENDITURE LOG'!$A$5:$A$504,"&lt;"&amp;EDATE($C$4,1),'EXPENDITURE LOG'!$F$5:$F$504,"Church*")</f>
        <v/>
      </c>
      <c r="G9" s="18">
        <f>E9-C9</f>
        <v/>
      </c>
      <c r="H9" s="18">
        <f>SUMIFS('EXPENDITURE LOG'!$D$5:$D$504,'EXPENDITURE LOG'!$J$5:$J$504,$A9,'EXPENDITURE LOG'!$A$5:$A$504,"&gt;="&amp;'SUPPORT PLAN'!$C$4,'EXPENDITURE LOG'!$A$5:$A$504,"&lt;"&amp;EDATE($C$4,1))</f>
        <v/>
      </c>
      <c r="I9" s="18">
        <f>C9*MAX(0,$F$4)</f>
        <v/>
      </c>
      <c r="J9" s="18">
        <f>H9-I9</f>
        <v/>
      </c>
      <c r="K9" s="15">
        <f>SUMIFS('EXPENDITURE LOG'!$D$5:$D$504,'EXPENDITURE LOG'!$J$5:$J$504,$A9)</f>
        <v/>
      </c>
    </row>
    <row r="10">
      <c r="A10" s="35">
        <f>EXPENSES!L8</f>
        <v/>
      </c>
      <c r="B10" s="36">
        <f>EXPENSES!B8</f>
        <v/>
      </c>
      <c r="C10" s="31">
        <f>EXPENSES!E8</f>
        <v/>
      </c>
      <c r="D10" s="31">
        <f>IF(AND($F$4&gt;=1,$F$4&lt;=3),CHOOSE($F$4,'SUPPORT PLAN'!$M10,'SUPPORT PLAN'!$T10,'SUPPORT PLAN'!$AA10),0)</f>
        <v/>
      </c>
      <c r="E10" s="18">
        <f>SUMIFS('EXPENDITURE LOG'!$D$5:$D$504,'EXPENDITURE LOG'!$J$5:$J$504,$A10,'EXPENDITURE LOG'!$A$5:$A$504,"&gt;="&amp;$C$4,'EXPENDITURE LOG'!$A$5:$A$504,"&lt;"&amp;EDATE($C$4,1))</f>
        <v/>
      </c>
      <c r="F10" s="18">
        <f>SUMIFS('EXPENDITURE LOG'!$D$5:$D$504,'EXPENDITURE LOG'!$J$5:$J$504,$A10,'EXPENDITURE LOG'!$A$5:$A$504,"&gt;="&amp;$C$4,'EXPENDITURE LOG'!$A$5:$A$504,"&lt;"&amp;EDATE($C$4,1),'EXPENDITURE LOG'!$F$5:$F$504,"Church*")</f>
        <v/>
      </c>
      <c r="G10" s="18">
        <f>E10-C10</f>
        <v/>
      </c>
      <c r="H10" s="18">
        <f>SUMIFS('EXPENDITURE LOG'!$D$5:$D$504,'EXPENDITURE LOG'!$J$5:$J$504,$A10,'EXPENDITURE LOG'!$A$5:$A$504,"&gt;="&amp;'SUPPORT PLAN'!$C$4,'EXPENDITURE LOG'!$A$5:$A$504,"&lt;"&amp;EDATE($C$4,1))</f>
        <v/>
      </c>
      <c r="I10" s="18">
        <f>C10*MAX(0,$F$4)</f>
        <v/>
      </c>
      <c r="J10" s="18">
        <f>H10-I10</f>
        <v/>
      </c>
      <c r="K10" s="15">
        <f>SUMIFS('EXPENDITURE LOG'!$D$5:$D$504,'EXPENDITURE LOG'!$J$5:$J$504,$A10)</f>
        <v/>
      </c>
    </row>
    <row r="11">
      <c r="A11" s="35">
        <f>EXPENSES!L9</f>
        <v/>
      </c>
      <c r="B11" s="36">
        <f>EXPENSES!B9</f>
        <v/>
      </c>
      <c r="C11" s="31">
        <f>EXPENSES!E9</f>
        <v/>
      </c>
      <c r="D11" s="31">
        <f>IF(AND($F$4&gt;=1,$F$4&lt;=3),CHOOSE($F$4,'SUPPORT PLAN'!$M11,'SUPPORT PLAN'!$T11,'SUPPORT PLAN'!$AA11),0)</f>
        <v/>
      </c>
      <c r="E11" s="18">
        <f>SUMIFS('EXPENDITURE LOG'!$D$5:$D$504,'EXPENDITURE LOG'!$J$5:$J$504,$A11,'EXPENDITURE LOG'!$A$5:$A$504,"&gt;="&amp;$C$4,'EXPENDITURE LOG'!$A$5:$A$504,"&lt;"&amp;EDATE($C$4,1))</f>
        <v/>
      </c>
      <c r="F11" s="18">
        <f>SUMIFS('EXPENDITURE LOG'!$D$5:$D$504,'EXPENDITURE LOG'!$J$5:$J$504,$A11,'EXPENDITURE LOG'!$A$5:$A$504,"&gt;="&amp;$C$4,'EXPENDITURE LOG'!$A$5:$A$504,"&lt;"&amp;EDATE($C$4,1),'EXPENDITURE LOG'!$F$5:$F$504,"Church*")</f>
        <v/>
      </c>
      <c r="G11" s="18">
        <f>E11-C11</f>
        <v/>
      </c>
      <c r="H11" s="18">
        <f>SUMIFS('EXPENDITURE LOG'!$D$5:$D$504,'EXPENDITURE LOG'!$J$5:$J$504,$A11,'EXPENDITURE LOG'!$A$5:$A$504,"&gt;="&amp;'SUPPORT PLAN'!$C$4,'EXPENDITURE LOG'!$A$5:$A$504,"&lt;"&amp;EDATE($C$4,1))</f>
        <v/>
      </c>
      <c r="I11" s="18">
        <f>C11*MAX(0,$F$4)</f>
        <v/>
      </c>
      <c r="J11" s="18">
        <f>H11-I11</f>
        <v/>
      </c>
      <c r="K11" s="15">
        <f>SUMIFS('EXPENDITURE LOG'!$D$5:$D$504,'EXPENDITURE LOG'!$J$5:$J$504,$A11)</f>
        <v/>
      </c>
    </row>
    <row r="12">
      <c r="A12" s="35">
        <f>EXPENSES!L10</f>
        <v/>
      </c>
      <c r="B12" s="36">
        <f>EXPENSES!B10</f>
        <v/>
      </c>
      <c r="C12" s="31">
        <f>EXPENSES!E10</f>
        <v/>
      </c>
      <c r="D12" s="31">
        <f>IF(AND($F$4&gt;=1,$F$4&lt;=3),CHOOSE($F$4,'SUPPORT PLAN'!$M12,'SUPPORT PLAN'!$T12,'SUPPORT PLAN'!$AA12),0)</f>
        <v/>
      </c>
      <c r="E12" s="18">
        <f>SUMIFS('EXPENDITURE LOG'!$D$5:$D$504,'EXPENDITURE LOG'!$J$5:$J$504,$A12,'EXPENDITURE LOG'!$A$5:$A$504,"&gt;="&amp;$C$4,'EXPENDITURE LOG'!$A$5:$A$504,"&lt;"&amp;EDATE($C$4,1))</f>
        <v/>
      </c>
      <c r="F12" s="18">
        <f>SUMIFS('EXPENDITURE LOG'!$D$5:$D$504,'EXPENDITURE LOG'!$J$5:$J$504,$A12,'EXPENDITURE LOG'!$A$5:$A$504,"&gt;="&amp;$C$4,'EXPENDITURE LOG'!$A$5:$A$504,"&lt;"&amp;EDATE($C$4,1),'EXPENDITURE LOG'!$F$5:$F$504,"Church*")</f>
        <v/>
      </c>
      <c r="G12" s="18">
        <f>E12-C12</f>
        <v/>
      </c>
      <c r="H12" s="18">
        <f>SUMIFS('EXPENDITURE LOG'!$D$5:$D$504,'EXPENDITURE LOG'!$J$5:$J$504,$A12,'EXPENDITURE LOG'!$A$5:$A$504,"&gt;="&amp;'SUPPORT PLAN'!$C$4,'EXPENDITURE LOG'!$A$5:$A$504,"&lt;"&amp;EDATE($C$4,1))</f>
        <v/>
      </c>
      <c r="I12" s="18">
        <f>C12*MAX(0,$F$4)</f>
        <v/>
      </c>
      <c r="J12" s="18">
        <f>H12-I12</f>
        <v/>
      </c>
      <c r="K12" s="15">
        <f>SUMIFS('EXPENDITURE LOG'!$D$5:$D$504,'EXPENDITURE LOG'!$J$5:$J$504,$A12)</f>
        <v/>
      </c>
    </row>
    <row r="13">
      <c r="A13" s="23" t="n"/>
      <c r="B13" s="113" t="inlineStr">
        <is>
          <t>HOUSING</t>
        </is>
      </c>
      <c r="C13" s="24">
        <f>SUM(C14:C21)</f>
        <v/>
      </c>
      <c r="D13" s="24">
        <f>SUM(D14:D21)</f>
        <v/>
      </c>
      <c r="E13" s="24">
        <f>SUM(E14:E21)</f>
        <v/>
      </c>
      <c r="F13" s="24">
        <f>SUM(F14:F21)</f>
        <v/>
      </c>
      <c r="G13" s="24">
        <f>SUM(G14:G21)</f>
        <v/>
      </c>
      <c r="H13" s="24">
        <f>SUM(H14:H21)</f>
        <v/>
      </c>
      <c r="I13" s="24">
        <f>SUM(I14:I21)</f>
        <v/>
      </c>
      <c r="J13" s="24">
        <f>SUM(J14:J21)</f>
        <v/>
      </c>
      <c r="K13" s="24">
        <f>SUM(K14:K21)</f>
        <v/>
      </c>
    </row>
    <row r="14">
      <c r="A14" s="35">
        <f>EXPENSES!L12</f>
        <v/>
      </c>
      <c r="B14" s="36">
        <f>EXPENSES!B12</f>
        <v/>
      </c>
      <c r="C14" s="31">
        <f>EXPENSES!E12</f>
        <v/>
      </c>
      <c r="D14" s="31">
        <f>IF(AND($F$4&gt;=1,$F$4&lt;=3),CHOOSE($F$4,'SUPPORT PLAN'!$M14,'SUPPORT PLAN'!$T14,'SUPPORT PLAN'!$AA14),0)</f>
        <v/>
      </c>
      <c r="E14" s="18">
        <f>SUMIFS('EXPENDITURE LOG'!$D$5:$D$504,'EXPENDITURE LOG'!$J$5:$J$504,$A14,'EXPENDITURE LOG'!$A$5:$A$504,"&gt;="&amp;$C$4,'EXPENDITURE LOG'!$A$5:$A$504,"&lt;"&amp;EDATE($C$4,1))</f>
        <v/>
      </c>
      <c r="F14" s="18">
        <f>SUMIFS('EXPENDITURE LOG'!$D$5:$D$504,'EXPENDITURE LOG'!$J$5:$J$504,$A14,'EXPENDITURE LOG'!$A$5:$A$504,"&gt;="&amp;$C$4,'EXPENDITURE LOG'!$A$5:$A$504,"&lt;"&amp;EDATE($C$4,1),'EXPENDITURE LOG'!$F$5:$F$504,"Church*")</f>
        <v/>
      </c>
      <c r="G14" s="18">
        <f>E14-C14</f>
        <v/>
      </c>
      <c r="H14" s="18">
        <f>SUMIFS('EXPENDITURE LOG'!$D$5:$D$504,'EXPENDITURE LOG'!$J$5:$J$504,$A14,'EXPENDITURE LOG'!$A$5:$A$504,"&gt;="&amp;'SUPPORT PLAN'!$C$4,'EXPENDITURE LOG'!$A$5:$A$504,"&lt;"&amp;EDATE($C$4,1))</f>
        <v/>
      </c>
      <c r="I14" s="18">
        <f>C14*MAX(0,$F$4)</f>
        <v/>
      </c>
      <c r="J14" s="18">
        <f>H14-I14</f>
        <v/>
      </c>
      <c r="K14" s="15">
        <f>SUMIFS('EXPENDITURE LOG'!$D$5:$D$504,'EXPENDITURE LOG'!$J$5:$J$504,$A14)</f>
        <v/>
      </c>
    </row>
    <row r="15">
      <c r="A15" s="35">
        <f>EXPENSES!L13</f>
        <v/>
      </c>
      <c r="B15" s="36">
        <f>EXPENSES!B13</f>
        <v/>
      </c>
      <c r="C15" s="31">
        <f>EXPENSES!E13</f>
        <v/>
      </c>
      <c r="D15" s="31">
        <f>IF(AND($F$4&gt;=1,$F$4&lt;=3),CHOOSE($F$4,'SUPPORT PLAN'!$M15,'SUPPORT PLAN'!$T15,'SUPPORT PLAN'!$AA15),0)</f>
        <v/>
      </c>
      <c r="E15" s="18">
        <f>SUMIFS('EXPENDITURE LOG'!$D$5:$D$504,'EXPENDITURE LOG'!$J$5:$J$504,$A15,'EXPENDITURE LOG'!$A$5:$A$504,"&gt;="&amp;$C$4,'EXPENDITURE LOG'!$A$5:$A$504,"&lt;"&amp;EDATE($C$4,1))</f>
        <v/>
      </c>
      <c r="F15" s="18">
        <f>SUMIFS('EXPENDITURE LOG'!$D$5:$D$504,'EXPENDITURE LOG'!$J$5:$J$504,$A15,'EXPENDITURE LOG'!$A$5:$A$504,"&gt;="&amp;$C$4,'EXPENDITURE LOG'!$A$5:$A$504,"&lt;"&amp;EDATE($C$4,1),'EXPENDITURE LOG'!$F$5:$F$504,"Church*")</f>
        <v/>
      </c>
      <c r="G15" s="18">
        <f>E15-C15</f>
        <v/>
      </c>
      <c r="H15" s="18">
        <f>SUMIFS('EXPENDITURE LOG'!$D$5:$D$504,'EXPENDITURE LOG'!$J$5:$J$504,$A15,'EXPENDITURE LOG'!$A$5:$A$504,"&gt;="&amp;'SUPPORT PLAN'!$C$4,'EXPENDITURE LOG'!$A$5:$A$504,"&lt;"&amp;EDATE($C$4,1))</f>
        <v/>
      </c>
      <c r="I15" s="18">
        <f>C15*MAX(0,$F$4)</f>
        <v/>
      </c>
      <c r="J15" s="18">
        <f>H15-I15</f>
        <v/>
      </c>
      <c r="K15" s="15">
        <f>SUMIFS('EXPENDITURE LOG'!$D$5:$D$504,'EXPENDITURE LOG'!$J$5:$J$504,$A15)</f>
        <v/>
      </c>
    </row>
    <row r="16">
      <c r="A16" s="35">
        <f>EXPENSES!L14</f>
        <v/>
      </c>
      <c r="B16" s="36">
        <f>EXPENSES!B14</f>
        <v/>
      </c>
      <c r="C16" s="31">
        <f>EXPENSES!E14</f>
        <v/>
      </c>
      <c r="D16" s="31">
        <f>IF(AND($F$4&gt;=1,$F$4&lt;=3),CHOOSE($F$4,'SUPPORT PLAN'!$M16,'SUPPORT PLAN'!$T16,'SUPPORT PLAN'!$AA16),0)</f>
        <v/>
      </c>
      <c r="E16" s="18">
        <f>SUMIFS('EXPENDITURE LOG'!$D$5:$D$504,'EXPENDITURE LOG'!$J$5:$J$504,$A16,'EXPENDITURE LOG'!$A$5:$A$504,"&gt;="&amp;$C$4,'EXPENDITURE LOG'!$A$5:$A$504,"&lt;"&amp;EDATE($C$4,1))</f>
        <v/>
      </c>
      <c r="F16" s="18">
        <f>SUMIFS('EXPENDITURE LOG'!$D$5:$D$504,'EXPENDITURE LOG'!$J$5:$J$504,$A16,'EXPENDITURE LOG'!$A$5:$A$504,"&gt;="&amp;$C$4,'EXPENDITURE LOG'!$A$5:$A$504,"&lt;"&amp;EDATE($C$4,1),'EXPENDITURE LOG'!$F$5:$F$504,"Church*")</f>
        <v/>
      </c>
      <c r="G16" s="18">
        <f>E16-C16</f>
        <v/>
      </c>
      <c r="H16" s="18">
        <f>SUMIFS('EXPENDITURE LOG'!$D$5:$D$504,'EXPENDITURE LOG'!$J$5:$J$504,$A16,'EXPENDITURE LOG'!$A$5:$A$504,"&gt;="&amp;'SUPPORT PLAN'!$C$4,'EXPENDITURE LOG'!$A$5:$A$504,"&lt;"&amp;EDATE($C$4,1))</f>
        <v/>
      </c>
      <c r="I16" s="18">
        <f>C16*MAX(0,$F$4)</f>
        <v/>
      </c>
      <c r="J16" s="18">
        <f>H16-I16</f>
        <v/>
      </c>
      <c r="K16" s="15">
        <f>SUMIFS('EXPENDITURE LOG'!$D$5:$D$504,'EXPENDITURE LOG'!$J$5:$J$504,$A16)</f>
        <v/>
      </c>
    </row>
    <row r="17">
      <c r="A17" s="35">
        <f>EXPENSES!L15</f>
        <v/>
      </c>
      <c r="B17" s="36">
        <f>EXPENSES!B15</f>
        <v/>
      </c>
      <c r="C17" s="31">
        <f>EXPENSES!E15</f>
        <v/>
      </c>
      <c r="D17" s="31">
        <f>IF(AND($F$4&gt;=1,$F$4&lt;=3),CHOOSE($F$4,'SUPPORT PLAN'!$M17,'SUPPORT PLAN'!$T17,'SUPPORT PLAN'!$AA17),0)</f>
        <v/>
      </c>
      <c r="E17" s="18">
        <f>SUMIFS('EXPENDITURE LOG'!$D$5:$D$504,'EXPENDITURE LOG'!$J$5:$J$504,$A17,'EXPENDITURE LOG'!$A$5:$A$504,"&gt;="&amp;$C$4,'EXPENDITURE LOG'!$A$5:$A$504,"&lt;"&amp;EDATE($C$4,1))</f>
        <v/>
      </c>
      <c r="F17" s="18">
        <f>SUMIFS('EXPENDITURE LOG'!$D$5:$D$504,'EXPENDITURE LOG'!$J$5:$J$504,$A17,'EXPENDITURE LOG'!$A$5:$A$504,"&gt;="&amp;$C$4,'EXPENDITURE LOG'!$A$5:$A$504,"&lt;"&amp;EDATE($C$4,1),'EXPENDITURE LOG'!$F$5:$F$504,"Church*")</f>
        <v/>
      </c>
      <c r="G17" s="18">
        <f>E17-C17</f>
        <v/>
      </c>
      <c r="H17" s="18">
        <f>SUMIFS('EXPENDITURE LOG'!$D$5:$D$504,'EXPENDITURE LOG'!$J$5:$J$504,$A17,'EXPENDITURE LOG'!$A$5:$A$504,"&gt;="&amp;'SUPPORT PLAN'!$C$4,'EXPENDITURE LOG'!$A$5:$A$504,"&lt;"&amp;EDATE($C$4,1))</f>
        <v/>
      </c>
      <c r="I17" s="18">
        <f>C17*MAX(0,$F$4)</f>
        <v/>
      </c>
      <c r="J17" s="18">
        <f>H17-I17</f>
        <v/>
      </c>
      <c r="K17" s="15">
        <f>SUMIFS('EXPENDITURE LOG'!$D$5:$D$504,'EXPENDITURE LOG'!$J$5:$J$504,$A17)</f>
        <v/>
      </c>
    </row>
    <row r="18">
      <c r="A18" s="35">
        <f>EXPENSES!L16</f>
        <v/>
      </c>
      <c r="B18" s="36">
        <f>EXPENSES!B16</f>
        <v/>
      </c>
      <c r="C18" s="31">
        <f>EXPENSES!E16</f>
        <v/>
      </c>
      <c r="D18" s="31">
        <f>IF(AND($F$4&gt;=1,$F$4&lt;=3),CHOOSE($F$4,'SUPPORT PLAN'!$M18,'SUPPORT PLAN'!$T18,'SUPPORT PLAN'!$AA18),0)</f>
        <v/>
      </c>
      <c r="E18" s="18">
        <f>SUMIFS('EXPENDITURE LOG'!$D$5:$D$504,'EXPENDITURE LOG'!$J$5:$J$504,$A18,'EXPENDITURE LOG'!$A$5:$A$504,"&gt;="&amp;$C$4,'EXPENDITURE LOG'!$A$5:$A$504,"&lt;"&amp;EDATE($C$4,1))</f>
        <v/>
      </c>
      <c r="F18" s="18">
        <f>SUMIFS('EXPENDITURE LOG'!$D$5:$D$504,'EXPENDITURE LOG'!$J$5:$J$504,$A18,'EXPENDITURE LOG'!$A$5:$A$504,"&gt;="&amp;$C$4,'EXPENDITURE LOG'!$A$5:$A$504,"&lt;"&amp;EDATE($C$4,1),'EXPENDITURE LOG'!$F$5:$F$504,"Church*")</f>
        <v/>
      </c>
      <c r="G18" s="18">
        <f>E18-C18</f>
        <v/>
      </c>
      <c r="H18" s="18">
        <f>SUMIFS('EXPENDITURE LOG'!$D$5:$D$504,'EXPENDITURE LOG'!$J$5:$J$504,$A18,'EXPENDITURE LOG'!$A$5:$A$504,"&gt;="&amp;'SUPPORT PLAN'!$C$4,'EXPENDITURE LOG'!$A$5:$A$504,"&lt;"&amp;EDATE($C$4,1))</f>
        <v/>
      </c>
      <c r="I18" s="18">
        <f>C18*MAX(0,$F$4)</f>
        <v/>
      </c>
      <c r="J18" s="18">
        <f>H18-I18</f>
        <v/>
      </c>
      <c r="K18" s="15">
        <f>SUMIFS('EXPENDITURE LOG'!$D$5:$D$504,'EXPENDITURE LOG'!$J$5:$J$504,$A18)</f>
        <v/>
      </c>
    </row>
    <row r="19">
      <c r="A19" s="35">
        <f>EXPENSES!L17</f>
        <v/>
      </c>
      <c r="B19" s="36">
        <f>EXPENSES!B17</f>
        <v/>
      </c>
      <c r="C19" s="31">
        <f>EXPENSES!E17</f>
        <v/>
      </c>
      <c r="D19" s="31">
        <f>IF(AND($F$4&gt;=1,$F$4&lt;=3),CHOOSE($F$4,'SUPPORT PLAN'!$M19,'SUPPORT PLAN'!$T19,'SUPPORT PLAN'!$AA19),0)</f>
        <v/>
      </c>
      <c r="E19" s="18">
        <f>SUMIFS('EXPENDITURE LOG'!$D$5:$D$504,'EXPENDITURE LOG'!$J$5:$J$504,$A19,'EXPENDITURE LOG'!$A$5:$A$504,"&gt;="&amp;$C$4,'EXPENDITURE LOG'!$A$5:$A$504,"&lt;"&amp;EDATE($C$4,1))</f>
        <v/>
      </c>
      <c r="F19" s="18">
        <f>SUMIFS('EXPENDITURE LOG'!$D$5:$D$504,'EXPENDITURE LOG'!$J$5:$J$504,$A19,'EXPENDITURE LOG'!$A$5:$A$504,"&gt;="&amp;$C$4,'EXPENDITURE LOG'!$A$5:$A$504,"&lt;"&amp;EDATE($C$4,1),'EXPENDITURE LOG'!$F$5:$F$504,"Church*")</f>
        <v/>
      </c>
      <c r="G19" s="18">
        <f>E19-C19</f>
        <v/>
      </c>
      <c r="H19" s="18">
        <f>SUMIFS('EXPENDITURE LOG'!$D$5:$D$504,'EXPENDITURE LOG'!$J$5:$J$504,$A19,'EXPENDITURE LOG'!$A$5:$A$504,"&gt;="&amp;'SUPPORT PLAN'!$C$4,'EXPENDITURE LOG'!$A$5:$A$504,"&lt;"&amp;EDATE($C$4,1))</f>
        <v/>
      </c>
      <c r="I19" s="18">
        <f>C19*MAX(0,$F$4)</f>
        <v/>
      </c>
      <c r="J19" s="18">
        <f>H19-I19</f>
        <v/>
      </c>
      <c r="K19" s="15">
        <f>SUMIFS('EXPENDITURE LOG'!$D$5:$D$504,'EXPENDITURE LOG'!$J$5:$J$504,$A19)</f>
        <v/>
      </c>
    </row>
    <row r="20">
      <c r="A20" s="35">
        <f>EXPENSES!L18</f>
        <v/>
      </c>
      <c r="B20" s="36">
        <f>EXPENSES!B18</f>
        <v/>
      </c>
      <c r="C20" s="31">
        <f>EXPENSES!E18</f>
        <v/>
      </c>
      <c r="D20" s="31">
        <f>IF(AND($F$4&gt;=1,$F$4&lt;=3),CHOOSE($F$4,'SUPPORT PLAN'!$M20,'SUPPORT PLAN'!$T20,'SUPPORT PLAN'!$AA20),0)</f>
        <v/>
      </c>
      <c r="E20" s="18">
        <f>SUMIFS('EXPENDITURE LOG'!$D$5:$D$504,'EXPENDITURE LOG'!$J$5:$J$504,$A20,'EXPENDITURE LOG'!$A$5:$A$504,"&gt;="&amp;$C$4,'EXPENDITURE LOG'!$A$5:$A$504,"&lt;"&amp;EDATE($C$4,1))</f>
        <v/>
      </c>
      <c r="F20" s="18">
        <f>SUMIFS('EXPENDITURE LOG'!$D$5:$D$504,'EXPENDITURE LOG'!$J$5:$J$504,$A20,'EXPENDITURE LOG'!$A$5:$A$504,"&gt;="&amp;$C$4,'EXPENDITURE LOG'!$A$5:$A$504,"&lt;"&amp;EDATE($C$4,1),'EXPENDITURE LOG'!$F$5:$F$504,"Church*")</f>
        <v/>
      </c>
      <c r="G20" s="18">
        <f>E20-C20</f>
        <v/>
      </c>
      <c r="H20" s="18">
        <f>SUMIFS('EXPENDITURE LOG'!$D$5:$D$504,'EXPENDITURE LOG'!$J$5:$J$504,$A20,'EXPENDITURE LOG'!$A$5:$A$504,"&gt;="&amp;'SUPPORT PLAN'!$C$4,'EXPENDITURE LOG'!$A$5:$A$504,"&lt;"&amp;EDATE($C$4,1))</f>
        <v/>
      </c>
      <c r="I20" s="18">
        <f>C20*MAX(0,$F$4)</f>
        <v/>
      </c>
      <c r="J20" s="18">
        <f>H20-I20</f>
        <v/>
      </c>
      <c r="K20" s="15">
        <f>SUMIFS('EXPENDITURE LOG'!$D$5:$D$504,'EXPENDITURE LOG'!$J$5:$J$504,$A20)</f>
        <v/>
      </c>
    </row>
    <row r="21">
      <c r="A21" s="35">
        <f>EXPENSES!L19</f>
        <v/>
      </c>
      <c r="B21" s="36">
        <f>EXPENSES!B19</f>
        <v/>
      </c>
      <c r="C21" s="31">
        <f>EXPENSES!E19</f>
        <v/>
      </c>
      <c r="D21" s="31">
        <f>IF(AND($F$4&gt;=1,$F$4&lt;=3),CHOOSE($F$4,'SUPPORT PLAN'!$M21,'SUPPORT PLAN'!$T21,'SUPPORT PLAN'!$AA21),0)</f>
        <v/>
      </c>
      <c r="E21" s="18">
        <f>SUMIFS('EXPENDITURE LOG'!$D$5:$D$504,'EXPENDITURE LOG'!$J$5:$J$504,$A21,'EXPENDITURE LOG'!$A$5:$A$504,"&gt;="&amp;$C$4,'EXPENDITURE LOG'!$A$5:$A$504,"&lt;"&amp;EDATE($C$4,1))</f>
        <v/>
      </c>
      <c r="F21" s="18">
        <f>SUMIFS('EXPENDITURE LOG'!$D$5:$D$504,'EXPENDITURE LOG'!$J$5:$J$504,$A21,'EXPENDITURE LOG'!$A$5:$A$504,"&gt;="&amp;$C$4,'EXPENDITURE LOG'!$A$5:$A$504,"&lt;"&amp;EDATE($C$4,1),'EXPENDITURE LOG'!$F$5:$F$504,"Church*")</f>
        <v/>
      </c>
      <c r="G21" s="18">
        <f>E21-C21</f>
        <v/>
      </c>
      <c r="H21" s="18">
        <f>SUMIFS('EXPENDITURE LOG'!$D$5:$D$504,'EXPENDITURE LOG'!$J$5:$J$504,$A21,'EXPENDITURE LOG'!$A$5:$A$504,"&gt;="&amp;'SUPPORT PLAN'!$C$4,'EXPENDITURE LOG'!$A$5:$A$504,"&lt;"&amp;EDATE($C$4,1))</f>
        <v/>
      </c>
      <c r="I21" s="18">
        <f>C21*MAX(0,$F$4)</f>
        <v/>
      </c>
      <c r="J21" s="18">
        <f>H21-I21</f>
        <v/>
      </c>
      <c r="K21" s="15">
        <f>SUMIFS('EXPENDITURE LOG'!$D$5:$D$504,'EXPENDITURE LOG'!$J$5:$J$504,$A21)</f>
        <v/>
      </c>
    </row>
    <row r="22">
      <c r="A22" s="23" t="n"/>
      <c r="B22" s="113" t="inlineStr">
        <is>
          <t>UTILITIES</t>
        </is>
      </c>
      <c r="C22" s="24">
        <f>SUM(C23:C31)</f>
        <v/>
      </c>
      <c r="D22" s="24">
        <f>SUM(D23:D31)</f>
        <v/>
      </c>
      <c r="E22" s="24">
        <f>SUM(E23:E31)</f>
        <v/>
      </c>
      <c r="F22" s="24">
        <f>SUM(F23:F31)</f>
        <v/>
      </c>
      <c r="G22" s="24">
        <f>SUM(G23:G31)</f>
        <v/>
      </c>
      <c r="H22" s="24">
        <f>SUM(H23:H31)</f>
        <v/>
      </c>
      <c r="I22" s="24">
        <f>SUM(I23:I31)</f>
        <v/>
      </c>
      <c r="J22" s="24">
        <f>SUM(J23:J31)</f>
        <v/>
      </c>
      <c r="K22" s="24">
        <f>SUM(K23:K31)</f>
        <v/>
      </c>
    </row>
    <row r="23">
      <c r="A23" s="35">
        <f>EXPENSES!L21</f>
        <v/>
      </c>
      <c r="B23" s="36">
        <f>EXPENSES!B21</f>
        <v/>
      </c>
      <c r="C23" s="31">
        <f>EXPENSES!E21</f>
        <v/>
      </c>
      <c r="D23" s="31">
        <f>IF(AND($F$4&gt;=1,$F$4&lt;=3),CHOOSE($F$4,'SUPPORT PLAN'!$M23,'SUPPORT PLAN'!$T23,'SUPPORT PLAN'!$AA23),0)</f>
        <v/>
      </c>
      <c r="E23" s="18">
        <f>SUMIFS('EXPENDITURE LOG'!$D$5:$D$504,'EXPENDITURE LOG'!$J$5:$J$504,$A23,'EXPENDITURE LOG'!$A$5:$A$504,"&gt;="&amp;$C$4,'EXPENDITURE LOG'!$A$5:$A$504,"&lt;"&amp;EDATE($C$4,1))</f>
        <v/>
      </c>
      <c r="F23" s="18">
        <f>SUMIFS('EXPENDITURE LOG'!$D$5:$D$504,'EXPENDITURE LOG'!$J$5:$J$504,$A23,'EXPENDITURE LOG'!$A$5:$A$504,"&gt;="&amp;$C$4,'EXPENDITURE LOG'!$A$5:$A$504,"&lt;"&amp;EDATE($C$4,1),'EXPENDITURE LOG'!$F$5:$F$504,"Church*")</f>
        <v/>
      </c>
      <c r="G23" s="18">
        <f>E23-C23</f>
        <v/>
      </c>
      <c r="H23" s="18">
        <f>SUMIFS('EXPENDITURE LOG'!$D$5:$D$504,'EXPENDITURE LOG'!$J$5:$J$504,$A23,'EXPENDITURE LOG'!$A$5:$A$504,"&gt;="&amp;'SUPPORT PLAN'!$C$4,'EXPENDITURE LOG'!$A$5:$A$504,"&lt;"&amp;EDATE($C$4,1))</f>
        <v/>
      </c>
      <c r="I23" s="18">
        <f>C23*MAX(0,$F$4)</f>
        <v/>
      </c>
      <c r="J23" s="18">
        <f>H23-I23</f>
        <v/>
      </c>
      <c r="K23" s="15">
        <f>SUMIFS('EXPENDITURE LOG'!$D$5:$D$504,'EXPENDITURE LOG'!$J$5:$J$504,$A23)</f>
        <v/>
      </c>
    </row>
    <row r="24">
      <c r="A24" s="35">
        <f>EXPENSES!L22</f>
        <v/>
      </c>
      <c r="B24" s="36">
        <f>EXPENSES!B22</f>
        <v/>
      </c>
      <c r="C24" s="31">
        <f>EXPENSES!E22</f>
        <v/>
      </c>
      <c r="D24" s="31">
        <f>IF(AND($F$4&gt;=1,$F$4&lt;=3),CHOOSE($F$4,'SUPPORT PLAN'!$M24,'SUPPORT PLAN'!$T24,'SUPPORT PLAN'!$AA24),0)</f>
        <v/>
      </c>
      <c r="E24" s="18">
        <f>SUMIFS('EXPENDITURE LOG'!$D$5:$D$504,'EXPENDITURE LOG'!$J$5:$J$504,$A24,'EXPENDITURE LOG'!$A$5:$A$504,"&gt;="&amp;$C$4,'EXPENDITURE LOG'!$A$5:$A$504,"&lt;"&amp;EDATE($C$4,1))</f>
        <v/>
      </c>
      <c r="F24" s="18">
        <f>SUMIFS('EXPENDITURE LOG'!$D$5:$D$504,'EXPENDITURE LOG'!$J$5:$J$504,$A24,'EXPENDITURE LOG'!$A$5:$A$504,"&gt;="&amp;$C$4,'EXPENDITURE LOG'!$A$5:$A$504,"&lt;"&amp;EDATE($C$4,1),'EXPENDITURE LOG'!$F$5:$F$504,"Church*")</f>
        <v/>
      </c>
      <c r="G24" s="18">
        <f>E24-C24</f>
        <v/>
      </c>
      <c r="H24" s="18">
        <f>SUMIFS('EXPENDITURE LOG'!$D$5:$D$504,'EXPENDITURE LOG'!$J$5:$J$504,$A24,'EXPENDITURE LOG'!$A$5:$A$504,"&gt;="&amp;'SUPPORT PLAN'!$C$4,'EXPENDITURE LOG'!$A$5:$A$504,"&lt;"&amp;EDATE($C$4,1))</f>
        <v/>
      </c>
      <c r="I24" s="18">
        <f>C24*MAX(0,$F$4)</f>
        <v/>
      </c>
      <c r="J24" s="18">
        <f>H24-I24</f>
        <v/>
      </c>
      <c r="K24" s="15">
        <f>SUMIFS('EXPENDITURE LOG'!$D$5:$D$504,'EXPENDITURE LOG'!$J$5:$J$504,$A24)</f>
        <v/>
      </c>
    </row>
    <row r="25">
      <c r="A25" s="35">
        <f>EXPENSES!L23</f>
        <v/>
      </c>
      <c r="B25" s="36">
        <f>EXPENSES!B23</f>
        <v/>
      </c>
      <c r="C25" s="31">
        <f>EXPENSES!E23</f>
        <v/>
      </c>
      <c r="D25" s="31">
        <f>IF(AND($F$4&gt;=1,$F$4&lt;=3),CHOOSE($F$4,'SUPPORT PLAN'!$M25,'SUPPORT PLAN'!$T25,'SUPPORT PLAN'!$AA25),0)</f>
        <v/>
      </c>
      <c r="E25" s="18">
        <f>SUMIFS('EXPENDITURE LOG'!$D$5:$D$504,'EXPENDITURE LOG'!$J$5:$J$504,$A25,'EXPENDITURE LOG'!$A$5:$A$504,"&gt;="&amp;$C$4,'EXPENDITURE LOG'!$A$5:$A$504,"&lt;"&amp;EDATE($C$4,1))</f>
        <v/>
      </c>
      <c r="F25" s="18">
        <f>SUMIFS('EXPENDITURE LOG'!$D$5:$D$504,'EXPENDITURE LOG'!$J$5:$J$504,$A25,'EXPENDITURE LOG'!$A$5:$A$504,"&gt;="&amp;$C$4,'EXPENDITURE LOG'!$A$5:$A$504,"&lt;"&amp;EDATE($C$4,1),'EXPENDITURE LOG'!$F$5:$F$504,"Church*")</f>
        <v/>
      </c>
      <c r="G25" s="18">
        <f>E25-C25</f>
        <v/>
      </c>
      <c r="H25" s="18">
        <f>SUMIFS('EXPENDITURE LOG'!$D$5:$D$504,'EXPENDITURE LOG'!$J$5:$J$504,$A25,'EXPENDITURE LOG'!$A$5:$A$504,"&gt;="&amp;'SUPPORT PLAN'!$C$4,'EXPENDITURE LOG'!$A$5:$A$504,"&lt;"&amp;EDATE($C$4,1))</f>
        <v/>
      </c>
      <c r="I25" s="18">
        <f>C25*MAX(0,$F$4)</f>
        <v/>
      </c>
      <c r="J25" s="18">
        <f>H25-I25</f>
        <v/>
      </c>
      <c r="K25" s="15">
        <f>SUMIFS('EXPENDITURE LOG'!$D$5:$D$504,'EXPENDITURE LOG'!$J$5:$J$504,$A25)</f>
        <v/>
      </c>
    </row>
    <row r="26">
      <c r="A26" s="35">
        <f>EXPENSES!L24</f>
        <v/>
      </c>
      <c r="B26" s="36">
        <f>EXPENSES!B24</f>
        <v/>
      </c>
      <c r="C26" s="31">
        <f>EXPENSES!E24</f>
        <v/>
      </c>
      <c r="D26" s="31">
        <f>IF(AND($F$4&gt;=1,$F$4&lt;=3),CHOOSE($F$4,'SUPPORT PLAN'!$M26,'SUPPORT PLAN'!$T26,'SUPPORT PLAN'!$AA26),0)</f>
        <v/>
      </c>
      <c r="E26" s="18">
        <f>SUMIFS('EXPENDITURE LOG'!$D$5:$D$504,'EXPENDITURE LOG'!$J$5:$J$504,$A26,'EXPENDITURE LOG'!$A$5:$A$504,"&gt;="&amp;$C$4,'EXPENDITURE LOG'!$A$5:$A$504,"&lt;"&amp;EDATE($C$4,1))</f>
        <v/>
      </c>
      <c r="F26" s="18">
        <f>SUMIFS('EXPENDITURE LOG'!$D$5:$D$504,'EXPENDITURE LOG'!$J$5:$J$504,$A26,'EXPENDITURE LOG'!$A$5:$A$504,"&gt;="&amp;$C$4,'EXPENDITURE LOG'!$A$5:$A$504,"&lt;"&amp;EDATE($C$4,1),'EXPENDITURE LOG'!$F$5:$F$504,"Church*")</f>
        <v/>
      </c>
      <c r="G26" s="18">
        <f>E26-C26</f>
        <v/>
      </c>
      <c r="H26" s="18">
        <f>SUMIFS('EXPENDITURE LOG'!$D$5:$D$504,'EXPENDITURE LOG'!$J$5:$J$504,$A26,'EXPENDITURE LOG'!$A$5:$A$504,"&gt;="&amp;'SUPPORT PLAN'!$C$4,'EXPENDITURE LOG'!$A$5:$A$504,"&lt;"&amp;EDATE($C$4,1))</f>
        <v/>
      </c>
      <c r="I26" s="18">
        <f>C26*MAX(0,$F$4)</f>
        <v/>
      </c>
      <c r="J26" s="18">
        <f>H26-I26</f>
        <v/>
      </c>
      <c r="K26" s="15">
        <f>SUMIFS('EXPENDITURE LOG'!$D$5:$D$504,'EXPENDITURE LOG'!$J$5:$J$504,$A26)</f>
        <v/>
      </c>
    </row>
    <row r="27">
      <c r="A27" s="35">
        <f>EXPENSES!L25</f>
        <v/>
      </c>
      <c r="B27" s="36">
        <f>EXPENSES!B25</f>
        <v/>
      </c>
      <c r="C27" s="31">
        <f>EXPENSES!E25</f>
        <v/>
      </c>
      <c r="D27" s="31">
        <f>IF(AND($F$4&gt;=1,$F$4&lt;=3),CHOOSE($F$4,'SUPPORT PLAN'!$M27,'SUPPORT PLAN'!$T27,'SUPPORT PLAN'!$AA27),0)</f>
        <v/>
      </c>
      <c r="E27" s="18">
        <f>SUMIFS('EXPENDITURE LOG'!$D$5:$D$504,'EXPENDITURE LOG'!$J$5:$J$504,$A27,'EXPENDITURE LOG'!$A$5:$A$504,"&gt;="&amp;$C$4,'EXPENDITURE LOG'!$A$5:$A$504,"&lt;"&amp;EDATE($C$4,1))</f>
        <v/>
      </c>
      <c r="F27" s="18">
        <f>SUMIFS('EXPENDITURE LOG'!$D$5:$D$504,'EXPENDITURE LOG'!$J$5:$J$504,$A27,'EXPENDITURE LOG'!$A$5:$A$504,"&gt;="&amp;$C$4,'EXPENDITURE LOG'!$A$5:$A$504,"&lt;"&amp;EDATE($C$4,1),'EXPENDITURE LOG'!$F$5:$F$504,"Church*")</f>
        <v/>
      </c>
      <c r="G27" s="18">
        <f>E27-C27</f>
        <v/>
      </c>
      <c r="H27" s="18">
        <f>SUMIFS('EXPENDITURE LOG'!$D$5:$D$504,'EXPENDITURE LOG'!$J$5:$J$504,$A27,'EXPENDITURE LOG'!$A$5:$A$504,"&gt;="&amp;'SUPPORT PLAN'!$C$4,'EXPENDITURE LOG'!$A$5:$A$504,"&lt;"&amp;EDATE($C$4,1))</f>
        <v/>
      </c>
      <c r="I27" s="18">
        <f>C27*MAX(0,$F$4)</f>
        <v/>
      </c>
      <c r="J27" s="18">
        <f>H27-I27</f>
        <v/>
      </c>
      <c r="K27" s="15">
        <f>SUMIFS('EXPENDITURE LOG'!$D$5:$D$504,'EXPENDITURE LOG'!$J$5:$J$504,$A27)</f>
        <v/>
      </c>
    </row>
    <row r="28">
      <c r="A28" s="35">
        <f>EXPENSES!L26</f>
        <v/>
      </c>
      <c r="B28" s="36">
        <f>EXPENSES!B26</f>
        <v/>
      </c>
      <c r="C28" s="31">
        <f>EXPENSES!E26</f>
        <v/>
      </c>
      <c r="D28" s="31">
        <f>IF(AND($F$4&gt;=1,$F$4&lt;=3),CHOOSE($F$4,'SUPPORT PLAN'!$M28,'SUPPORT PLAN'!$T28,'SUPPORT PLAN'!$AA28),0)</f>
        <v/>
      </c>
      <c r="E28" s="18">
        <f>SUMIFS('EXPENDITURE LOG'!$D$5:$D$504,'EXPENDITURE LOG'!$J$5:$J$504,$A28,'EXPENDITURE LOG'!$A$5:$A$504,"&gt;="&amp;$C$4,'EXPENDITURE LOG'!$A$5:$A$504,"&lt;"&amp;EDATE($C$4,1))</f>
        <v/>
      </c>
      <c r="F28" s="18">
        <f>SUMIFS('EXPENDITURE LOG'!$D$5:$D$504,'EXPENDITURE LOG'!$J$5:$J$504,$A28,'EXPENDITURE LOG'!$A$5:$A$504,"&gt;="&amp;$C$4,'EXPENDITURE LOG'!$A$5:$A$504,"&lt;"&amp;EDATE($C$4,1),'EXPENDITURE LOG'!$F$5:$F$504,"Church*")</f>
        <v/>
      </c>
      <c r="G28" s="18">
        <f>E28-C28</f>
        <v/>
      </c>
      <c r="H28" s="18">
        <f>SUMIFS('EXPENDITURE LOG'!$D$5:$D$504,'EXPENDITURE LOG'!$J$5:$J$504,$A28,'EXPENDITURE LOG'!$A$5:$A$504,"&gt;="&amp;'SUPPORT PLAN'!$C$4,'EXPENDITURE LOG'!$A$5:$A$504,"&lt;"&amp;EDATE($C$4,1))</f>
        <v/>
      </c>
      <c r="I28" s="18">
        <f>C28*MAX(0,$F$4)</f>
        <v/>
      </c>
      <c r="J28" s="18">
        <f>H28-I28</f>
        <v/>
      </c>
      <c r="K28" s="15">
        <f>SUMIFS('EXPENDITURE LOG'!$D$5:$D$504,'EXPENDITURE LOG'!$J$5:$J$504,$A28)</f>
        <v/>
      </c>
    </row>
    <row r="29">
      <c r="A29" s="35">
        <f>EXPENSES!L27</f>
        <v/>
      </c>
      <c r="B29" s="36">
        <f>EXPENSES!B27</f>
        <v/>
      </c>
      <c r="C29" s="31">
        <f>EXPENSES!E27</f>
        <v/>
      </c>
      <c r="D29" s="31">
        <f>IF(AND($F$4&gt;=1,$F$4&lt;=3),CHOOSE($F$4,'SUPPORT PLAN'!$M29,'SUPPORT PLAN'!$T29,'SUPPORT PLAN'!$AA29),0)</f>
        <v/>
      </c>
      <c r="E29" s="18">
        <f>SUMIFS('EXPENDITURE LOG'!$D$5:$D$504,'EXPENDITURE LOG'!$J$5:$J$504,$A29,'EXPENDITURE LOG'!$A$5:$A$504,"&gt;="&amp;$C$4,'EXPENDITURE LOG'!$A$5:$A$504,"&lt;"&amp;EDATE($C$4,1))</f>
        <v/>
      </c>
      <c r="F29" s="18">
        <f>SUMIFS('EXPENDITURE LOG'!$D$5:$D$504,'EXPENDITURE LOG'!$J$5:$J$504,$A29,'EXPENDITURE LOG'!$A$5:$A$504,"&gt;="&amp;$C$4,'EXPENDITURE LOG'!$A$5:$A$504,"&lt;"&amp;EDATE($C$4,1),'EXPENDITURE LOG'!$F$5:$F$504,"Church*")</f>
        <v/>
      </c>
      <c r="G29" s="18">
        <f>E29-C29</f>
        <v/>
      </c>
      <c r="H29" s="18">
        <f>SUMIFS('EXPENDITURE LOG'!$D$5:$D$504,'EXPENDITURE LOG'!$J$5:$J$504,$A29,'EXPENDITURE LOG'!$A$5:$A$504,"&gt;="&amp;'SUPPORT PLAN'!$C$4,'EXPENDITURE LOG'!$A$5:$A$504,"&lt;"&amp;EDATE($C$4,1))</f>
        <v/>
      </c>
      <c r="I29" s="18">
        <f>C29*MAX(0,$F$4)</f>
        <v/>
      </c>
      <c r="J29" s="18">
        <f>H29-I29</f>
        <v/>
      </c>
      <c r="K29" s="15">
        <f>SUMIFS('EXPENDITURE LOG'!$D$5:$D$504,'EXPENDITURE LOG'!$J$5:$J$504,$A29)</f>
        <v/>
      </c>
    </row>
    <row r="30">
      <c r="A30" s="35">
        <f>EXPENSES!L28</f>
        <v/>
      </c>
      <c r="B30" s="36">
        <f>EXPENSES!B28</f>
        <v/>
      </c>
      <c r="C30" s="31">
        <f>EXPENSES!E28</f>
        <v/>
      </c>
      <c r="D30" s="31">
        <f>IF(AND($F$4&gt;=1,$F$4&lt;=3),CHOOSE($F$4,'SUPPORT PLAN'!$M30,'SUPPORT PLAN'!$T30,'SUPPORT PLAN'!$AA30),0)</f>
        <v/>
      </c>
      <c r="E30" s="18">
        <f>SUMIFS('EXPENDITURE LOG'!$D$5:$D$504,'EXPENDITURE LOG'!$J$5:$J$504,$A30,'EXPENDITURE LOG'!$A$5:$A$504,"&gt;="&amp;$C$4,'EXPENDITURE LOG'!$A$5:$A$504,"&lt;"&amp;EDATE($C$4,1))</f>
        <v/>
      </c>
      <c r="F30" s="18">
        <f>SUMIFS('EXPENDITURE LOG'!$D$5:$D$504,'EXPENDITURE LOG'!$J$5:$J$504,$A30,'EXPENDITURE LOG'!$A$5:$A$504,"&gt;="&amp;$C$4,'EXPENDITURE LOG'!$A$5:$A$504,"&lt;"&amp;EDATE($C$4,1),'EXPENDITURE LOG'!$F$5:$F$504,"Church*")</f>
        <v/>
      </c>
      <c r="G30" s="18">
        <f>E30-C30</f>
        <v/>
      </c>
      <c r="H30" s="18">
        <f>SUMIFS('EXPENDITURE LOG'!$D$5:$D$504,'EXPENDITURE LOG'!$J$5:$J$504,$A30,'EXPENDITURE LOG'!$A$5:$A$504,"&gt;="&amp;'SUPPORT PLAN'!$C$4,'EXPENDITURE LOG'!$A$5:$A$504,"&lt;"&amp;EDATE($C$4,1))</f>
        <v/>
      </c>
      <c r="I30" s="18">
        <f>C30*MAX(0,$F$4)</f>
        <v/>
      </c>
      <c r="J30" s="18">
        <f>H30-I30</f>
        <v/>
      </c>
      <c r="K30" s="15">
        <f>SUMIFS('EXPENDITURE LOG'!$D$5:$D$504,'EXPENDITURE LOG'!$J$5:$J$504,$A30)</f>
        <v/>
      </c>
    </row>
    <row r="31">
      <c r="A31" s="35">
        <f>EXPENSES!L29</f>
        <v/>
      </c>
      <c r="B31" s="36">
        <f>EXPENSES!B29</f>
        <v/>
      </c>
      <c r="C31" s="31">
        <f>EXPENSES!E29</f>
        <v/>
      </c>
      <c r="D31" s="31">
        <f>IF(AND($F$4&gt;=1,$F$4&lt;=3),CHOOSE($F$4,'SUPPORT PLAN'!$M31,'SUPPORT PLAN'!$T31,'SUPPORT PLAN'!$AA31),0)</f>
        <v/>
      </c>
      <c r="E31" s="18">
        <f>SUMIFS('EXPENDITURE LOG'!$D$5:$D$504,'EXPENDITURE LOG'!$J$5:$J$504,$A31,'EXPENDITURE LOG'!$A$5:$A$504,"&gt;="&amp;$C$4,'EXPENDITURE LOG'!$A$5:$A$504,"&lt;"&amp;EDATE($C$4,1))</f>
        <v/>
      </c>
      <c r="F31" s="18">
        <f>SUMIFS('EXPENDITURE LOG'!$D$5:$D$504,'EXPENDITURE LOG'!$J$5:$J$504,$A31,'EXPENDITURE LOG'!$A$5:$A$504,"&gt;="&amp;$C$4,'EXPENDITURE LOG'!$A$5:$A$504,"&lt;"&amp;EDATE($C$4,1),'EXPENDITURE LOG'!$F$5:$F$504,"Church*")</f>
        <v/>
      </c>
      <c r="G31" s="18">
        <f>E31-C31</f>
        <v/>
      </c>
      <c r="H31" s="18">
        <f>SUMIFS('EXPENDITURE LOG'!$D$5:$D$504,'EXPENDITURE LOG'!$J$5:$J$504,$A31,'EXPENDITURE LOG'!$A$5:$A$504,"&gt;="&amp;'SUPPORT PLAN'!$C$4,'EXPENDITURE LOG'!$A$5:$A$504,"&lt;"&amp;EDATE($C$4,1))</f>
        <v/>
      </c>
      <c r="I31" s="18">
        <f>C31*MAX(0,$F$4)</f>
        <v/>
      </c>
      <c r="J31" s="18">
        <f>H31-I31</f>
        <v/>
      </c>
      <c r="K31" s="15">
        <f>SUMIFS('EXPENDITURE LOG'!$D$5:$D$504,'EXPENDITURE LOG'!$J$5:$J$504,$A31)</f>
        <v/>
      </c>
    </row>
    <row r="32">
      <c r="A32" s="23" t="n"/>
      <c r="B32" s="113" t="inlineStr">
        <is>
          <t>FOOD</t>
        </is>
      </c>
      <c r="C32" s="24">
        <f>SUM(C33:C38)</f>
        <v/>
      </c>
      <c r="D32" s="24">
        <f>SUM(D33:D38)</f>
        <v/>
      </c>
      <c r="E32" s="24">
        <f>SUM(E33:E38)</f>
        <v/>
      </c>
      <c r="F32" s="24">
        <f>SUM(F33:F38)</f>
        <v/>
      </c>
      <c r="G32" s="24">
        <f>SUM(G33:G38)</f>
        <v/>
      </c>
      <c r="H32" s="24">
        <f>SUM(H33:H38)</f>
        <v/>
      </c>
      <c r="I32" s="24">
        <f>SUM(I33:I38)</f>
        <v/>
      </c>
      <c r="J32" s="24">
        <f>SUM(J33:J38)</f>
        <v/>
      </c>
      <c r="K32" s="24">
        <f>SUM(K33:K38)</f>
        <v/>
      </c>
    </row>
    <row r="33">
      <c r="A33" s="35">
        <f>EXPENSES!L31</f>
        <v/>
      </c>
      <c r="B33" s="36">
        <f>EXPENSES!B31</f>
        <v/>
      </c>
      <c r="C33" s="31">
        <f>EXPENSES!E31</f>
        <v/>
      </c>
      <c r="D33" s="31">
        <f>IF(AND($F$4&gt;=1,$F$4&lt;=3),CHOOSE($F$4,'SUPPORT PLAN'!$M33,'SUPPORT PLAN'!$T33,'SUPPORT PLAN'!$AA33),0)</f>
        <v/>
      </c>
      <c r="E33" s="18">
        <f>SUMIFS('EXPENDITURE LOG'!$D$5:$D$504,'EXPENDITURE LOG'!$J$5:$J$504,$A33,'EXPENDITURE LOG'!$A$5:$A$504,"&gt;="&amp;$C$4,'EXPENDITURE LOG'!$A$5:$A$504,"&lt;"&amp;EDATE($C$4,1))</f>
        <v/>
      </c>
      <c r="F33" s="18">
        <f>SUMIFS('EXPENDITURE LOG'!$D$5:$D$504,'EXPENDITURE LOG'!$J$5:$J$504,$A33,'EXPENDITURE LOG'!$A$5:$A$504,"&gt;="&amp;$C$4,'EXPENDITURE LOG'!$A$5:$A$504,"&lt;"&amp;EDATE($C$4,1),'EXPENDITURE LOG'!$F$5:$F$504,"Church*")</f>
        <v/>
      </c>
      <c r="G33" s="18">
        <f>E33-C33</f>
        <v/>
      </c>
      <c r="H33" s="18">
        <f>SUMIFS('EXPENDITURE LOG'!$D$5:$D$504,'EXPENDITURE LOG'!$J$5:$J$504,$A33,'EXPENDITURE LOG'!$A$5:$A$504,"&gt;="&amp;'SUPPORT PLAN'!$C$4,'EXPENDITURE LOG'!$A$5:$A$504,"&lt;"&amp;EDATE($C$4,1))</f>
        <v/>
      </c>
      <c r="I33" s="18">
        <f>C33*MAX(0,$F$4)</f>
        <v/>
      </c>
      <c r="J33" s="18">
        <f>H33-I33</f>
        <v/>
      </c>
      <c r="K33" s="15">
        <f>SUMIFS('EXPENDITURE LOG'!$D$5:$D$504,'EXPENDITURE LOG'!$J$5:$J$504,$A33)</f>
        <v/>
      </c>
    </row>
    <row r="34">
      <c r="A34" s="35">
        <f>EXPENSES!L32</f>
        <v/>
      </c>
      <c r="B34" s="36">
        <f>EXPENSES!B32</f>
        <v/>
      </c>
      <c r="C34" s="31">
        <f>EXPENSES!E32</f>
        <v/>
      </c>
      <c r="D34" s="31">
        <f>IF(AND($F$4&gt;=1,$F$4&lt;=3),CHOOSE($F$4,'SUPPORT PLAN'!$M34,'SUPPORT PLAN'!$T34,'SUPPORT PLAN'!$AA34),0)</f>
        <v/>
      </c>
      <c r="E34" s="18">
        <f>SUMIFS('EXPENDITURE LOG'!$D$5:$D$504,'EXPENDITURE LOG'!$J$5:$J$504,$A34,'EXPENDITURE LOG'!$A$5:$A$504,"&gt;="&amp;$C$4,'EXPENDITURE LOG'!$A$5:$A$504,"&lt;"&amp;EDATE($C$4,1))</f>
        <v/>
      </c>
      <c r="F34" s="18">
        <f>SUMIFS('EXPENDITURE LOG'!$D$5:$D$504,'EXPENDITURE LOG'!$J$5:$J$504,$A34,'EXPENDITURE LOG'!$A$5:$A$504,"&gt;="&amp;$C$4,'EXPENDITURE LOG'!$A$5:$A$504,"&lt;"&amp;EDATE($C$4,1),'EXPENDITURE LOG'!$F$5:$F$504,"Church*")</f>
        <v/>
      </c>
      <c r="G34" s="18">
        <f>E34-C34</f>
        <v/>
      </c>
      <c r="H34" s="18">
        <f>SUMIFS('EXPENDITURE LOG'!$D$5:$D$504,'EXPENDITURE LOG'!$J$5:$J$504,$A34,'EXPENDITURE LOG'!$A$5:$A$504,"&gt;="&amp;'SUPPORT PLAN'!$C$4,'EXPENDITURE LOG'!$A$5:$A$504,"&lt;"&amp;EDATE($C$4,1))</f>
        <v/>
      </c>
      <c r="I34" s="18">
        <f>C34*MAX(0,$F$4)</f>
        <v/>
      </c>
      <c r="J34" s="18">
        <f>H34-I34</f>
        <v/>
      </c>
      <c r="K34" s="15">
        <f>SUMIFS('EXPENDITURE LOG'!$D$5:$D$504,'EXPENDITURE LOG'!$J$5:$J$504,$A34)</f>
        <v/>
      </c>
    </row>
    <row r="35">
      <c r="A35" s="35">
        <f>EXPENSES!L33</f>
        <v/>
      </c>
      <c r="B35" s="36">
        <f>EXPENSES!B33</f>
        <v/>
      </c>
      <c r="C35" s="31">
        <f>EXPENSES!E33</f>
        <v/>
      </c>
      <c r="D35" s="31">
        <f>IF(AND($F$4&gt;=1,$F$4&lt;=3),CHOOSE($F$4,'SUPPORT PLAN'!$M35,'SUPPORT PLAN'!$T35,'SUPPORT PLAN'!$AA35),0)</f>
        <v/>
      </c>
      <c r="E35" s="18">
        <f>SUMIFS('EXPENDITURE LOG'!$D$5:$D$504,'EXPENDITURE LOG'!$J$5:$J$504,$A35,'EXPENDITURE LOG'!$A$5:$A$504,"&gt;="&amp;$C$4,'EXPENDITURE LOG'!$A$5:$A$504,"&lt;"&amp;EDATE($C$4,1))</f>
        <v/>
      </c>
      <c r="F35" s="18">
        <f>SUMIFS('EXPENDITURE LOG'!$D$5:$D$504,'EXPENDITURE LOG'!$J$5:$J$504,$A35,'EXPENDITURE LOG'!$A$5:$A$504,"&gt;="&amp;$C$4,'EXPENDITURE LOG'!$A$5:$A$504,"&lt;"&amp;EDATE($C$4,1),'EXPENDITURE LOG'!$F$5:$F$504,"Church*")</f>
        <v/>
      </c>
      <c r="G35" s="18">
        <f>E35-C35</f>
        <v/>
      </c>
      <c r="H35" s="18">
        <f>SUMIFS('EXPENDITURE LOG'!$D$5:$D$504,'EXPENDITURE LOG'!$J$5:$J$504,$A35,'EXPENDITURE LOG'!$A$5:$A$504,"&gt;="&amp;'SUPPORT PLAN'!$C$4,'EXPENDITURE LOG'!$A$5:$A$504,"&lt;"&amp;EDATE($C$4,1))</f>
        <v/>
      </c>
      <c r="I35" s="18">
        <f>C35*MAX(0,$F$4)</f>
        <v/>
      </c>
      <c r="J35" s="18">
        <f>H35-I35</f>
        <v/>
      </c>
      <c r="K35" s="15">
        <f>SUMIFS('EXPENDITURE LOG'!$D$5:$D$504,'EXPENDITURE LOG'!$J$5:$J$504,$A35)</f>
        <v/>
      </c>
    </row>
    <row r="36">
      <c r="A36" s="35">
        <f>EXPENSES!L34</f>
        <v/>
      </c>
      <c r="B36" s="36">
        <f>EXPENSES!B34</f>
        <v/>
      </c>
      <c r="C36" s="31">
        <f>EXPENSES!E34</f>
        <v/>
      </c>
      <c r="D36" s="31">
        <f>IF(AND($F$4&gt;=1,$F$4&lt;=3),CHOOSE($F$4,'SUPPORT PLAN'!$M36,'SUPPORT PLAN'!$T36,'SUPPORT PLAN'!$AA36),0)</f>
        <v/>
      </c>
      <c r="E36" s="18">
        <f>SUMIFS('EXPENDITURE LOG'!$D$5:$D$504,'EXPENDITURE LOG'!$J$5:$J$504,$A36,'EXPENDITURE LOG'!$A$5:$A$504,"&gt;="&amp;$C$4,'EXPENDITURE LOG'!$A$5:$A$504,"&lt;"&amp;EDATE($C$4,1))</f>
        <v/>
      </c>
      <c r="F36" s="18">
        <f>SUMIFS('EXPENDITURE LOG'!$D$5:$D$504,'EXPENDITURE LOG'!$J$5:$J$504,$A36,'EXPENDITURE LOG'!$A$5:$A$504,"&gt;="&amp;$C$4,'EXPENDITURE LOG'!$A$5:$A$504,"&lt;"&amp;EDATE($C$4,1),'EXPENDITURE LOG'!$F$5:$F$504,"Church*")</f>
        <v/>
      </c>
      <c r="G36" s="18">
        <f>E36-C36</f>
        <v/>
      </c>
      <c r="H36" s="18">
        <f>SUMIFS('EXPENDITURE LOG'!$D$5:$D$504,'EXPENDITURE LOG'!$J$5:$J$504,$A36,'EXPENDITURE LOG'!$A$5:$A$504,"&gt;="&amp;'SUPPORT PLAN'!$C$4,'EXPENDITURE LOG'!$A$5:$A$504,"&lt;"&amp;EDATE($C$4,1))</f>
        <v/>
      </c>
      <c r="I36" s="18">
        <f>C36*MAX(0,$F$4)</f>
        <v/>
      </c>
      <c r="J36" s="18">
        <f>H36-I36</f>
        <v/>
      </c>
      <c r="K36" s="15">
        <f>SUMIFS('EXPENDITURE LOG'!$D$5:$D$504,'EXPENDITURE LOG'!$J$5:$J$504,$A36)</f>
        <v/>
      </c>
    </row>
    <row r="37">
      <c r="A37" s="35">
        <f>EXPENSES!L35</f>
        <v/>
      </c>
      <c r="B37" s="36">
        <f>EXPENSES!B35</f>
        <v/>
      </c>
      <c r="C37" s="31">
        <f>EXPENSES!E35</f>
        <v/>
      </c>
      <c r="D37" s="31">
        <f>IF(AND($F$4&gt;=1,$F$4&lt;=3),CHOOSE($F$4,'SUPPORT PLAN'!$M37,'SUPPORT PLAN'!$T37,'SUPPORT PLAN'!$AA37),0)</f>
        <v/>
      </c>
      <c r="E37" s="18">
        <f>SUMIFS('EXPENDITURE LOG'!$D$5:$D$504,'EXPENDITURE LOG'!$J$5:$J$504,$A37,'EXPENDITURE LOG'!$A$5:$A$504,"&gt;="&amp;$C$4,'EXPENDITURE LOG'!$A$5:$A$504,"&lt;"&amp;EDATE($C$4,1))</f>
        <v/>
      </c>
      <c r="F37" s="18">
        <f>SUMIFS('EXPENDITURE LOG'!$D$5:$D$504,'EXPENDITURE LOG'!$J$5:$J$504,$A37,'EXPENDITURE LOG'!$A$5:$A$504,"&gt;="&amp;$C$4,'EXPENDITURE LOG'!$A$5:$A$504,"&lt;"&amp;EDATE($C$4,1),'EXPENDITURE LOG'!$F$5:$F$504,"Church*")</f>
        <v/>
      </c>
      <c r="G37" s="18">
        <f>E37-C37</f>
        <v/>
      </c>
      <c r="H37" s="18">
        <f>SUMIFS('EXPENDITURE LOG'!$D$5:$D$504,'EXPENDITURE LOG'!$J$5:$J$504,$A37,'EXPENDITURE LOG'!$A$5:$A$504,"&gt;="&amp;'SUPPORT PLAN'!$C$4,'EXPENDITURE LOG'!$A$5:$A$504,"&lt;"&amp;EDATE($C$4,1))</f>
        <v/>
      </c>
      <c r="I37" s="18">
        <f>C37*MAX(0,$F$4)</f>
        <v/>
      </c>
      <c r="J37" s="18">
        <f>H37-I37</f>
        <v/>
      </c>
      <c r="K37" s="15">
        <f>SUMIFS('EXPENDITURE LOG'!$D$5:$D$504,'EXPENDITURE LOG'!$J$5:$J$504,$A37)</f>
        <v/>
      </c>
    </row>
    <row r="38">
      <c r="A38" s="35">
        <f>EXPENSES!L36</f>
        <v/>
      </c>
      <c r="B38" s="36">
        <f>EXPENSES!B36</f>
        <v/>
      </c>
      <c r="C38" s="31">
        <f>EXPENSES!E36</f>
        <v/>
      </c>
      <c r="D38" s="31">
        <f>IF(AND($F$4&gt;=1,$F$4&lt;=3),CHOOSE($F$4,'SUPPORT PLAN'!$M38,'SUPPORT PLAN'!$T38,'SUPPORT PLAN'!$AA38),0)</f>
        <v/>
      </c>
      <c r="E38" s="18">
        <f>SUMIFS('EXPENDITURE LOG'!$D$5:$D$504,'EXPENDITURE LOG'!$J$5:$J$504,$A38,'EXPENDITURE LOG'!$A$5:$A$504,"&gt;="&amp;$C$4,'EXPENDITURE LOG'!$A$5:$A$504,"&lt;"&amp;EDATE($C$4,1))</f>
        <v/>
      </c>
      <c r="F38" s="18">
        <f>SUMIFS('EXPENDITURE LOG'!$D$5:$D$504,'EXPENDITURE LOG'!$J$5:$J$504,$A38,'EXPENDITURE LOG'!$A$5:$A$504,"&gt;="&amp;$C$4,'EXPENDITURE LOG'!$A$5:$A$504,"&lt;"&amp;EDATE($C$4,1),'EXPENDITURE LOG'!$F$5:$F$504,"Church*")</f>
        <v/>
      </c>
      <c r="G38" s="18">
        <f>E38-C38</f>
        <v/>
      </c>
      <c r="H38" s="18">
        <f>SUMIFS('EXPENDITURE LOG'!$D$5:$D$504,'EXPENDITURE LOG'!$J$5:$J$504,$A38,'EXPENDITURE LOG'!$A$5:$A$504,"&gt;="&amp;'SUPPORT PLAN'!$C$4,'EXPENDITURE LOG'!$A$5:$A$504,"&lt;"&amp;EDATE($C$4,1))</f>
        <v/>
      </c>
      <c r="I38" s="18">
        <f>C38*MAX(0,$F$4)</f>
        <v/>
      </c>
      <c r="J38" s="18">
        <f>H38-I38</f>
        <v/>
      </c>
      <c r="K38" s="15">
        <f>SUMIFS('EXPENDITURE LOG'!$D$5:$D$504,'EXPENDITURE LOG'!$J$5:$J$504,$A38)</f>
        <v/>
      </c>
    </row>
    <row r="39">
      <c r="A39" s="23" t="n"/>
      <c r="B39" s="113" t="inlineStr">
        <is>
          <t>HOUSEHOLD &amp; PERSONAL</t>
        </is>
      </c>
      <c r="C39" s="24">
        <f>SUM(C40:C46)</f>
        <v/>
      </c>
      <c r="D39" s="24">
        <f>SUM(D40:D46)</f>
        <v/>
      </c>
      <c r="E39" s="24">
        <f>SUM(E40:E46)</f>
        <v/>
      </c>
      <c r="F39" s="24">
        <f>SUM(F40:F46)</f>
        <v/>
      </c>
      <c r="G39" s="24">
        <f>SUM(G40:G46)</f>
        <v/>
      </c>
      <c r="H39" s="24">
        <f>SUM(H40:H46)</f>
        <v/>
      </c>
      <c r="I39" s="24">
        <f>SUM(I40:I46)</f>
        <v/>
      </c>
      <c r="J39" s="24">
        <f>SUM(J40:J46)</f>
        <v/>
      </c>
      <c r="K39" s="24">
        <f>SUM(K40:K46)</f>
        <v/>
      </c>
    </row>
    <row r="40">
      <c r="A40" s="35">
        <f>EXPENSES!L38</f>
        <v/>
      </c>
      <c r="B40" s="36">
        <f>EXPENSES!B38</f>
        <v/>
      </c>
      <c r="C40" s="31">
        <f>EXPENSES!E38</f>
        <v/>
      </c>
      <c r="D40" s="31">
        <f>IF(AND($F$4&gt;=1,$F$4&lt;=3),CHOOSE($F$4,'SUPPORT PLAN'!$M40,'SUPPORT PLAN'!$T40,'SUPPORT PLAN'!$AA40),0)</f>
        <v/>
      </c>
      <c r="E40" s="18">
        <f>SUMIFS('EXPENDITURE LOG'!$D$5:$D$504,'EXPENDITURE LOG'!$J$5:$J$504,$A40,'EXPENDITURE LOG'!$A$5:$A$504,"&gt;="&amp;$C$4,'EXPENDITURE LOG'!$A$5:$A$504,"&lt;"&amp;EDATE($C$4,1))</f>
        <v/>
      </c>
      <c r="F40" s="18">
        <f>SUMIFS('EXPENDITURE LOG'!$D$5:$D$504,'EXPENDITURE LOG'!$J$5:$J$504,$A40,'EXPENDITURE LOG'!$A$5:$A$504,"&gt;="&amp;$C$4,'EXPENDITURE LOG'!$A$5:$A$504,"&lt;"&amp;EDATE($C$4,1),'EXPENDITURE LOG'!$F$5:$F$504,"Church*")</f>
        <v/>
      </c>
      <c r="G40" s="18">
        <f>E40-C40</f>
        <v/>
      </c>
      <c r="H40" s="18">
        <f>SUMIFS('EXPENDITURE LOG'!$D$5:$D$504,'EXPENDITURE LOG'!$J$5:$J$504,$A40,'EXPENDITURE LOG'!$A$5:$A$504,"&gt;="&amp;'SUPPORT PLAN'!$C$4,'EXPENDITURE LOG'!$A$5:$A$504,"&lt;"&amp;EDATE($C$4,1))</f>
        <v/>
      </c>
      <c r="I40" s="18">
        <f>C40*MAX(0,$F$4)</f>
        <v/>
      </c>
      <c r="J40" s="18">
        <f>H40-I40</f>
        <v/>
      </c>
      <c r="K40" s="15">
        <f>SUMIFS('EXPENDITURE LOG'!$D$5:$D$504,'EXPENDITURE LOG'!$J$5:$J$504,$A40)</f>
        <v/>
      </c>
    </row>
    <row r="41">
      <c r="A41" s="35">
        <f>EXPENSES!L39</f>
        <v/>
      </c>
      <c r="B41" s="36">
        <f>EXPENSES!B39</f>
        <v/>
      </c>
      <c r="C41" s="31">
        <f>EXPENSES!E39</f>
        <v/>
      </c>
      <c r="D41" s="31">
        <f>IF(AND($F$4&gt;=1,$F$4&lt;=3),CHOOSE($F$4,'SUPPORT PLAN'!$M41,'SUPPORT PLAN'!$T41,'SUPPORT PLAN'!$AA41),0)</f>
        <v/>
      </c>
      <c r="E41" s="18">
        <f>SUMIFS('EXPENDITURE LOG'!$D$5:$D$504,'EXPENDITURE LOG'!$J$5:$J$504,$A41,'EXPENDITURE LOG'!$A$5:$A$504,"&gt;="&amp;$C$4,'EXPENDITURE LOG'!$A$5:$A$504,"&lt;"&amp;EDATE($C$4,1))</f>
        <v/>
      </c>
      <c r="F41" s="18">
        <f>SUMIFS('EXPENDITURE LOG'!$D$5:$D$504,'EXPENDITURE LOG'!$J$5:$J$504,$A41,'EXPENDITURE LOG'!$A$5:$A$504,"&gt;="&amp;$C$4,'EXPENDITURE LOG'!$A$5:$A$504,"&lt;"&amp;EDATE($C$4,1),'EXPENDITURE LOG'!$F$5:$F$504,"Church*")</f>
        <v/>
      </c>
      <c r="G41" s="18">
        <f>E41-C41</f>
        <v/>
      </c>
      <c r="H41" s="18">
        <f>SUMIFS('EXPENDITURE LOG'!$D$5:$D$504,'EXPENDITURE LOG'!$J$5:$J$504,$A41,'EXPENDITURE LOG'!$A$5:$A$504,"&gt;="&amp;'SUPPORT PLAN'!$C$4,'EXPENDITURE LOG'!$A$5:$A$504,"&lt;"&amp;EDATE($C$4,1))</f>
        <v/>
      </c>
      <c r="I41" s="18">
        <f>C41*MAX(0,$F$4)</f>
        <v/>
      </c>
      <c r="J41" s="18">
        <f>H41-I41</f>
        <v/>
      </c>
      <c r="K41" s="15">
        <f>SUMIFS('EXPENDITURE LOG'!$D$5:$D$504,'EXPENDITURE LOG'!$J$5:$J$504,$A41)</f>
        <v/>
      </c>
    </row>
    <row r="42">
      <c r="A42" s="35">
        <f>EXPENSES!L40</f>
        <v/>
      </c>
      <c r="B42" s="36">
        <f>EXPENSES!B40</f>
        <v/>
      </c>
      <c r="C42" s="31">
        <f>EXPENSES!E40</f>
        <v/>
      </c>
      <c r="D42" s="31">
        <f>IF(AND($F$4&gt;=1,$F$4&lt;=3),CHOOSE($F$4,'SUPPORT PLAN'!$M42,'SUPPORT PLAN'!$T42,'SUPPORT PLAN'!$AA42),0)</f>
        <v/>
      </c>
      <c r="E42" s="18">
        <f>SUMIFS('EXPENDITURE LOG'!$D$5:$D$504,'EXPENDITURE LOG'!$J$5:$J$504,$A42,'EXPENDITURE LOG'!$A$5:$A$504,"&gt;="&amp;$C$4,'EXPENDITURE LOG'!$A$5:$A$504,"&lt;"&amp;EDATE($C$4,1))</f>
        <v/>
      </c>
      <c r="F42" s="18">
        <f>SUMIFS('EXPENDITURE LOG'!$D$5:$D$504,'EXPENDITURE LOG'!$J$5:$J$504,$A42,'EXPENDITURE LOG'!$A$5:$A$504,"&gt;="&amp;$C$4,'EXPENDITURE LOG'!$A$5:$A$504,"&lt;"&amp;EDATE($C$4,1),'EXPENDITURE LOG'!$F$5:$F$504,"Church*")</f>
        <v/>
      </c>
      <c r="G42" s="18">
        <f>E42-C42</f>
        <v/>
      </c>
      <c r="H42" s="18">
        <f>SUMIFS('EXPENDITURE LOG'!$D$5:$D$504,'EXPENDITURE LOG'!$J$5:$J$504,$A42,'EXPENDITURE LOG'!$A$5:$A$504,"&gt;="&amp;'SUPPORT PLAN'!$C$4,'EXPENDITURE LOG'!$A$5:$A$504,"&lt;"&amp;EDATE($C$4,1))</f>
        <v/>
      </c>
      <c r="I42" s="18">
        <f>C42*MAX(0,$F$4)</f>
        <v/>
      </c>
      <c r="J42" s="18">
        <f>H42-I42</f>
        <v/>
      </c>
      <c r="K42" s="15">
        <f>SUMIFS('EXPENDITURE LOG'!$D$5:$D$504,'EXPENDITURE LOG'!$J$5:$J$504,$A42)</f>
        <v/>
      </c>
    </row>
    <row r="43">
      <c r="A43" s="35">
        <f>EXPENSES!L41</f>
        <v/>
      </c>
      <c r="B43" s="36">
        <f>EXPENSES!B41</f>
        <v/>
      </c>
      <c r="C43" s="31">
        <f>EXPENSES!E41</f>
        <v/>
      </c>
      <c r="D43" s="31">
        <f>IF(AND($F$4&gt;=1,$F$4&lt;=3),CHOOSE($F$4,'SUPPORT PLAN'!$M43,'SUPPORT PLAN'!$T43,'SUPPORT PLAN'!$AA43),0)</f>
        <v/>
      </c>
      <c r="E43" s="18">
        <f>SUMIFS('EXPENDITURE LOG'!$D$5:$D$504,'EXPENDITURE LOG'!$J$5:$J$504,$A43,'EXPENDITURE LOG'!$A$5:$A$504,"&gt;="&amp;$C$4,'EXPENDITURE LOG'!$A$5:$A$504,"&lt;"&amp;EDATE($C$4,1))</f>
        <v/>
      </c>
      <c r="F43" s="18">
        <f>SUMIFS('EXPENDITURE LOG'!$D$5:$D$504,'EXPENDITURE LOG'!$J$5:$J$504,$A43,'EXPENDITURE LOG'!$A$5:$A$504,"&gt;="&amp;$C$4,'EXPENDITURE LOG'!$A$5:$A$504,"&lt;"&amp;EDATE($C$4,1),'EXPENDITURE LOG'!$F$5:$F$504,"Church*")</f>
        <v/>
      </c>
      <c r="G43" s="18">
        <f>E43-C43</f>
        <v/>
      </c>
      <c r="H43" s="18">
        <f>SUMIFS('EXPENDITURE LOG'!$D$5:$D$504,'EXPENDITURE LOG'!$J$5:$J$504,$A43,'EXPENDITURE LOG'!$A$5:$A$504,"&gt;="&amp;'SUPPORT PLAN'!$C$4,'EXPENDITURE LOG'!$A$5:$A$504,"&lt;"&amp;EDATE($C$4,1))</f>
        <v/>
      </c>
      <c r="I43" s="18">
        <f>C43*MAX(0,$F$4)</f>
        <v/>
      </c>
      <c r="J43" s="18">
        <f>H43-I43</f>
        <v/>
      </c>
      <c r="K43" s="15">
        <f>SUMIFS('EXPENDITURE LOG'!$D$5:$D$504,'EXPENDITURE LOG'!$J$5:$J$504,$A43)</f>
        <v/>
      </c>
    </row>
    <row r="44">
      <c r="A44" s="35">
        <f>EXPENSES!L42</f>
        <v/>
      </c>
      <c r="B44" s="36">
        <f>EXPENSES!B42</f>
        <v/>
      </c>
      <c r="C44" s="31">
        <f>EXPENSES!E42</f>
        <v/>
      </c>
      <c r="D44" s="31">
        <f>IF(AND($F$4&gt;=1,$F$4&lt;=3),CHOOSE($F$4,'SUPPORT PLAN'!$M44,'SUPPORT PLAN'!$T44,'SUPPORT PLAN'!$AA44),0)</f>
        <v/>
      </c>
      <c r="E44" s="18">
        <f>SUMIFS('EXPENDITURE LOG'!$D$5:$D$504,'EXPENDITURE LOG'!$J$5:$J$504,$A44,'EXPENDITURE LOG'!$A$5:$A$504,"&gt;="&amp;$C$4,'EXPENDITURE LOG'!$A$5:$A$504,"&lt;"&amp;EDATE($C$4,1))</f>
        <v/>
      </c>
      <c r="F44" s="18">
        <f>SUMIFS('EXPENDITURE LOG'!$D$5:$D$504,'EXPENDITURE LOG'!$J$5:$J$504,$A44,'EXPENDITURE LOG'!$A$5:$A$504,"&gt;="&amp;$C$4,'EXPENDITURE LOG'!$A$5:$A$504,"&lt;"&amp;EDATE($C$4,1),'EXPENDITURE LOG'!$F$5:$F$504,"Church*")</f>
        <v/>
      </c>
      <c r="G44" s="18">
        <f>E44-C44</f>
        <v/>
      </c>
      <c r="H44" s="18">
        <f>SUMIFS('EXPENDITURE LOG'!$D$5:$D$504,'EXPENDITURE LOG'!$J$5:$J$504,$A44,'EXPENDITURE LOG'!$A$5:$A$504,"&gt;="&amp;'SUPPORT PLAN'!$C$4,'EXPENDITURE LOG'!$A$5:$A$504,"&lt;"&amp;EDATE($C$4,1))</f>
        <v/>
      </c>
      <c r="I44" s="18">
        <f>C44*MAX(0,$F$4)</f>
        <v/>
      </c>
      <c r="J44" s="18">
        <f>H44-I44</f>
        <v/>
      </c>
      <c r="K44" s="15">
        <f>SUMIFS('EXPENDITURE LOG'!$D$5:$D$504,'EXPENDITURE LOG'!$J$5:$J$504,$A44)</f>
        <v/>
      </c>
    </row>
    <row r="45">
      <c r="A45" s="35">
        <f>EXPENSES!L43</f>
        <v/>
      </c>
      <c r="B45" s="36">
        <f>EXPENSES!B43</f>
        <v/>
      </c>
      <c r="C45" s="31">
        <f>EXPENSES!E43</f>
        <v/>
      </c>
      <c r="D45" s="31">
        <f>IF(AND($F$4&gt;=1,$F$4&lt;=3),CHOOSE($F$4,'SUPPORT PLAN'!$M45,'SUPPORT PLAN'!$T45,'SUPPORT PLAN'!$AA45),0)</f>
        <v/>
      </c>
      <c r="E45" s="18">
        <f>SUMIFS('EXPENDITURE LOG'!$D$5:$D$504,'EXPENDITURE LOG'!$J$5:$J$504,$A45,'EXPENDITURE LOG'!$A$5:$A$504,"&gt;="&amp;$C$4,'EXPENDITURE LOG'!$A$5:$A$504,"&lt;"&amp;EDATE($C$4,1))</f>
        <v/>
      </c>
      <c r="F45" s="18">
        <f>SUMIFS('EXPENDITURE LOG'!$D$5:$D$504,'EXPENDITURE LOG'!$J$5:$J$504,$A45,'EXPENDITURE LOG'!$A$5:$A$504,"&gt;="&amp;$C$4,'EXPENDITURE LOG'!$A$5:$A$504,"&lt;"&amp;EDATE($C$4,1),'EXPENDITURE LOG'!$F$5:$F$504,"Church*")</f>
        <v/>
      </c>
      <c r="G45" s="18">
        <f>E45-C45</f>
        <v/>
      </c>
      <c r="H45" s="18">
        <f>SUMIFS('EXPENDITURE LOG'!$D$5:$D$504,'EXPENDITURE LOG'!$J$5:$J$504,$A45,'EXPENDITURE LOG'!$A$5:$A$504,"&gt;="&amp;'SUPPORT PLAN'!$C$4,'EXPENDITURE LOG'!$A$5:$A$504,"&lt;"&amp;EDATE($C$4,1))</f>
        <v/>
      </c>
      <c r="I45" s="18">
        <f>C45*MAX(0,$F$4)</f>
        <v/>
      </c>
      <c r="J45" s="18">
        <f>H45-I45</f>
        <v/>
      </c>
      <c r="K45" s="15">
        <f>SUMIFS('EXPENDITURE LOG'!$D$5:$D$504,'EXPENDITURE LOG'!$J$5:$J$504,$A45)</f>
        <v/>
      </c>
    </row>
    <row r="46">
      <c r="A46" s="35">
        <f>EXPENSES!L44</f>
        <v/>
      </c>
      <c r="B46" s="36">
        <f>EXPENSES!B44</f>
        <v/>
      </c>
      <c r="C46" s="31">
        <f>EXPENSES!E44</f>
        <v/>
      </c>
      <c r="D46" s="31">
        <f>IF(AND($F$4&gt;=1,$F$4&lt;=3),CHOOSE($F$4,'SUPPORT PLAN'!$M46,'SUPPORT PLAN'!$T46,'SUPPORT PLAN'!$AA46),0)</f>
        <v/>
      </c>
      <c r="E46" s="18">
        <f>SUMIFS('EXPENDITURE LOG'!$D$5:$D$504,'EXPENDITURE LOG'!$J$5:$J$504,$A46,'EXPENDITURE LOG'!$A$5:$A$504,"&gt;="&amp;$C$4,'EXPENDITURE LOG'!$A$5:$A$504,"&lt;"&amp;EDATE($C$4,1))</f>
        <v/>
      </c>
      <c r="F46" s="18">
        <f>SUMIFS('EXPENDITURE LOG'!$D$5:$D$504,'EXPENDITURE LOG'!$J$5:$J$504,$A46,'EXPENDITURE LOG'!$A$5:$A$504,"&gt;="&amp;$C$4,'EXPENDITURE LOG'!$A$5:$A$504,"&lt;"&amp;EDATE($C$4,1),'EXPENDITURE LOG'!$F$5:$F$504,"Church*")</f>
        <v/>
      </c>
      <c r="G46" s="18">
        <f>E46-C46</f>
        <v/>
      </c>
      <c r="H46" s="18">
        <f>SUMIFS('EXPENDITURE LOG'!$D$5:$D$504,'EXPENDITURE LOG'!$J$5:$J$504,$A46,'EXPENDITURE LOG'!$A$5:$A$504,"&gt;="&amp;'SUPPORT PLAN'!$C$4,'EXPENDITURE LOG'!$A$5:$A$504,"&lt;"&amp;EDATE($C$4,1))</f>
        <v/>
      </c>
      <c r="I46" s="18">
        <f>C46*MAX(0,$F$4)</f>
        <v/>
      </c>
      <c r="J46" s="18">
        <f>H46-I46</f>
        <v/>
      </c>
      <c r="K46" s="15">
        <f>SUMIFS('EXPENDITURE LOG'!$D$5:$D$504,'EXPENDITURE LOG'!$J$5:$J$504,$A46)</f>
        <v/>
      </c>
    </row>
    <row r="47">
      <c r="A47" s="23" t="n"/>
      <c r="B47" s="113" t="inlineStr">
        <is>
          <t>CLOTHING</t>
        </is>
      </c>
      <c r="C47" s="24">
        <f>SUM(C48:C52)</f>
        <v/>
      </c>
      <c r="D47" s="24">
        <f>SUM(D48:D52)</f>
        <v/>
      </c>
      <c r="E47" s="24">
        <f>SUM(E48:E52)</f>
        <v/>
      </c>
      <c r="F47" s="24">
        <f>SUM(F48:F52)</f>
        <v/>
      </c>
      <c r="G47" s="24">
        <f>SUM(G48:G52)</f>
        <v/>
      </c>
      <c r="H47" s="24">
        <f>SUM(H48:H52)</f>
        <v/>
      </c>
      <c r="I47" s="24">
        <f>SUM(I48:I52)</f>
        <v/>
      </c>
      <c r="J47" s="24">
        <f>SUM(J48:J52)</f>
        <v/>
      </c>
      <c r="K47" s="24">
        <f>SUM(K48:K52)</f>
        <v/>
      </c>
    </row>
    <row r="48">
      <c r="A48" s="35">
        <f>EXPENSES!L46</f>
        <v/>
      </c>
      <c r="B48" s="36">
        <f>EXPENSES!B46</f>
        <v/>
      </c>
      <c r="C48" s="31">
        <f>EXPENSES!E46</f>
        <v/>
      </c>
      <c r="D48" s="31">
        <f>IF(AND($F$4&gt;=1,$F$4&lt;=3),CHOOSE($F$4,'SUPPORT PLAN'!$M48,'SUPPORT PLAN'!$T48,'SUPPORT PLAN'!$AA48),0)</f>
        <v/>
      </c>
      <c r="E48" s="18">
        <f>SUMIFS('EXPENDITURE LOG'!$D$5:$D$504,'EXPENDITURE LOG'!$J$5:$J$504,$A48,'EXPENDITURE LOG'!$A$5:$A$504,"&gt;="&amp;$C$4,'EXPENDITURE LOG'!$A$5:$A$504,"&lt;"&amp;EDATE($C$4,1))</f>
        <v/>
      </c>
      <c r="F48" s="18">
        <f>SUMIFS('EXPENDITURE LOG'!$D$5:$D$504,'EXPENDITURE LOG'!$J$5:$J$504,$A48,'EXPENDITURE LOG'!$A$5:$A$504,"&gt;="&amp;$C$4,'EXPENDITURE LOG'!$A$5:$A$504,"&lt;"&amp;EDATE($C$4,1),'EXPENDITURE LOG'!$F$5:$F$504,"Church*")</f>
        <v/>
      </c>
      <c r="G48" s="18">
        <f>E48-C48</f>
        <v/>
      </c>
      <c r="H48" s="18">
        <f>SUMIFS('EXPENDITURE LOG'!$D$5:$D$504,'EXPENDITURE LOG'!$J$5:$J$504,$A48,'EXPENDITURE LOG'!$A$5:$A$504,"&gt;="&amp;'SUPPORT PLAN'!$C$4,'EXPENDITURE LOG'!$A$5:$A$504,"&lt;"&amp;EDATE($C$4,1))</f>
        <v/>
      </c>
      <c r="I48" s="18">
        <f>C48*MAX(0,$F$4)</f>
        <v/>
      </c>
      <c r="J48" s="18">
        <f>H48-I48</f>
        <v/>
      </c>
      <c r="K48" s="15">
        <f>SUMIFS('EXPENDITURE LOG'!$D$5:$D$504,'EXPENDITURE LOG'!$J$5:$J$504,$A48)</f>
        <v/>
      </c>
    </row>
    <row r="49">
      <c r="A49" s="35">
        <f>EXPENSES!L47</f>
        <v/>
      </c>
      <c r="B49" s="36">
        <f>EXPENSES!B47</f>
        <v/>
      </c>
      <c r="C49" s="31">
        <f>EXPENSES!E47</f>
        <v/>
      </c>
      <c r="D49" s="31">
        <f>IF(AND($F$4&gt;=1,$F$4&lt;=3),CHOOSE($F$4,'SUPPORT PLAN'!$M49,'SUPPORT PLAN'!$T49,'SUPPORT PLAN'!$AA49),0)</f>
        <v/>
      </c>
      <c r="E49" s="18">
        <f>SUMIFS('EXPENDITURE LOG'!$D$5:$D$504,'EXPENDITURE LOG'!$J$5:$J$504,$A49,'EXPENDITURE LOG'!$A$5:$A$504,"&gt;="&amp;$C$4,'EXPENDITURE LOG'!$A$5:$A$504,"&lt;"&amp;EDATE($C$4,1))</f>
        <v/>
      </c>
      <c r="F49" s="18">
        <f>SUMIFS('EXPENDITURE LOG'!$D$5:$D$504,'EXPENDITURE LOG'!$J$5:$J$504,$A49,'EXPENDITURE LOG'!$A$5:$A$504,"&gt;="&amp;$C$4,'EXPENDITURE LOG'!$A$5:$A$504,"&lt;"&amp;EDATE($C$4,1),'EXPENDITURE LOG'!$F$5:$F$504,"Church*")</f>
        <v/>
      </c>
      <c r="G49" s="18">
        <f>E49-C49</f>
        <v/>
      </c>
      <c r="H49" s="18">
        <f>SUMIFS('EXPENDITURE LOG'!$D$5:$D$504,'EXPENDITURE LOG'!$J$5:$J$504,$A49,'EXPENDITURE LOG'!$A$5:$A$504,"&gt;="&amp;'SUPPORT PLAN'!$C$4,'EXPENDITURE LOG'!$A$5:$A$504,"&lt;"&amp;EDATE($C$4,1))</f>
        <v/>
      </c>
      <c r="I49" s="18">
        <f>C49*MAX(0,$F$4)</f>
        <v/>
      </c>
      <c r="J49" s="18">
        <f>H49-I49</f>
        <v/>
      </c>
      <c r="K49" s="15">
        <f>SUMIFS('EXPENDITURE LOG'!$D$5:$D$504,'EXPENDITURE LOG'!$J$5:$J$504,$A49)</f>
        <v/>
      </c>
    </row>
    <row r="50">
      <c r="A50" s="35">
        <f>EXPENSES!L48</f>
        <v/>
      </c>
      <c r="B50" s="36">
        <f>EXPENSES!B48</f>
        <v/>
      </c>
      <c r="C50" s="31">
        <f>EXPENSES!E48</f>
        <v/>
      </c>
      <c r="D50" s="31">
        <f>IF(AND($F$4&gt;=1,$F$4&lt;=3),CHOOSE($F$4,'SUPPORT PLAN'!$M50,'SUPPORT PLAN'!$T50,'SUPPORT PLAN'!$AA50),0)</f>
        <v/>
      </c>
      <c r="E50" s="18">
        <f>SUMIFS('EXPENDITURE LOG'!$D$5:$D$504,'EXPENDITURE LOG'!$J$5:$J$504,$A50,'EXPENDITURE LOG'!$A$5:$A$504,"&gt;="&amp;$C$4,'EXPENDITURE LOG'!$A$5:$A$504,"&lt;"&amp;EDATE($C$4,1))</f>
        <v/>
      </c>
      <c r="F50" s="18">
        <f>SUMIFS('EXPENDITURE LOG'!$D$5:$D$504,'EXPENDITURE LOG'!$J$5:$J$504,$A50,'EXPENDITURE LOG'!$A$5:$A$504,"&gt;="&amp;$C$4,'EXPENDITURE LOG'!$A$5:$A$504,"&lt;"&amp;EDATE($C$4,1),'EXPENDITURE LOG'!$F$5:$F$504,"Church*")</f>
        <v/>
      </c>
      <c r="G50" s="18">
        <f>E50-C50</f>
        <v/>
      </c>
      <c r="H50" s="18">
        <f>SUMIFS('EXPENDITURE LOG'!$D$5:$D$504,'EXPENDITURE LOG'!$J$5:$J$504,$A50,'EXPENDITURE LOG'!$A$5:$A$504,"&gt;="&amp;'SUPPORT PLAN'!$C$4,'EXPENDITURE LOG'!$A$5:$A$504,"&lt;"&amp;EDATE($C$4,1))</f>
        <v/>
      </c>
      <c r="I50" s="18">
        <f>C50*MAX(0,$F$4)</f>
        <v/>
      </c>
      <c r="J50" s="18">
        <f>H50-I50</f>
        <v/>
      </c>
      <c r="K50" s="15">
        <f>SUMIFS('EXPENDITURE LOG'!$D$5:$D$504,'EXPENDITURE LOG'!$J$5:$J$504,$A50)</f>
        <v/>
      </c>
    </row>
    <row r="51">
      <c r="A51" s="35">
        <f>EXPENSES!L49</f>
        <v/>
      </c>
      <c r="B51" s="36">
        <f>EXPENSES!B49</f>
        <v/>
      </c>
      <c r="C51" s="31">
        <f>EXPENSES!E49</f>
        <v/>
      </c>
      <c r="D51" s="31">
        <f>IF(AND($F$4&gt;=1,$F$4&lt;=3),CHOOSE($F$4,'SUPPORT PLAN'!$M51,'SUPPORT PLAN'!$T51,'SUPPORT PLAN'!$AA51),0)</f>
        <v/>
      </c>
      <c r="E51" s="18">
        <f>SUMIFS('EXPENDITURE LOG'!$D$5:$D$504,'EXPENDITURE LOG'!$J$5:$J$504,$A51,'EXPENDITURE LOG'!$A$5:$A$504,"&gt;="&amp;$C$4,'EXPENDITURE LOG'!$A$5:$A$504,"&lt;"&amp;EDATE($C$4,1))</f>
        <v/>
      </c>
      <c r="F51" s="18">
        <f>SUMIFS('EXPENDITURE LOG'!$D$5:$D$504,'EXPENDITURE LOG'!$J$5:$J$504,$A51,'EXPENDITURE LOG'!$A$5:$A$504,"&gt;="&amp;$C$4,'EXPENDITURE LOG'!$A$5:$A$504,"&lt;"&amp;EDATE($C$4,1),'EXPENDITURE LOG'!$F$5:$F$504,"Church*")</f>
        <v/>
      </c>
      <c r="G51" s="18">
        <f>E51-C51</f>
        <v/>
      </c>
      <c r="H51" s="18">
        <f>SUMIFS('EXPENDITURE LOG'!$D$5:$D$504,'EXPENDITURE LOG'!$J$5:$J$504,$A51,'EXPENDITURE LOG'!$A$5:$A$504,"&gt;="&amp;'SUPPORT PLAN'!$C$4,'EXPENDITURE LOG'!$A$5:$A$504,"&lt;"&amp;EDATE($C$4,1))</f>
        <v/>
      </c>
      <c r="I51" s="18">
        <f>C51*MAX(0,$F$4)</f>
        <v/>
      </c>
      <c r="J51" s="18">
        <f>H51-I51</f>
        <v/>
      </c>
      <c r="K51" s="15">
        <f>SUMIFS('EXPENDITURE LOG'!$D$5:$D$504,'EXPENDITURE LOG'!$J$5:$J$504,$A51)</f>
        <v/>
      </c>
    </row>
    <row r="52">
      <c r="A52" s="35">
        <f>EXPENSES!L50</f>
        <v/>
      </c>
      <c r="B52" s="36">
        <f>EXPENSES!B50</f>
        <v/>
      </c>
      <c r="C52" s="31">
        <f>EXPENSES!E50</f>
        <v/>
      </c>
      <c r="D52" s="31">
        <f>IF(AND($F$4&gt;=1,$F$4&lt;=3),CHOOSE($F$4,'SUPPORT PLAN'!$M52,'SUPPORT PLAN'!$T52,'SUPPORT PLAN'!$AA52),0)</f>
        <v/>
      </c>
      <c r="E52" s="18">
        <f>SUMIFS('EXPENDITURE LOG'!$D$5:$D$504,'EXPENDITURE LOG'!$J$5:$J$504,$A52,'EXPENDITURE LOG'!$A$5:$A$504,"&gt;="&amp;$C$4,'EXPENDITURE LOG'!$A$5:$A$504,"&lt;"&amp;EDATE($C$4,1))</f>
        <v/>
      </c>
      <c r="F52" s="18">
        <f>SUMIFS('EXPENDITURE LOG'!$D$5:$D$504,'EXPENDITURE LOG'!$J$5:$J$504,$A52,'EXPENDITURE LOG'!$A$5:$A$504,"&gt;="&amp;$C$4,'EXPENDITURE LOG'!$A$5:$A$504,"&lt;"&amp;EDATE($C$4,1),'EXPENDITURE LOG'!$F$5:$F$504,"Church*")</f>
        <v/>
      </c>
      <c r="G52" s="18">
        <f>E52-C52</f>
        <v/>
      </c>
      <c r="H52" s="18">
        <f>SUMIFS('EXPENDITURE LOG'!$D$5:$D$504,'EXPENDITURE LOG'!$J$5:$J$504,$A52,'EXPENDITURE LOG'!$A$5:$A$504,"&gt;="&amp;'SUPPORT PLAN'!$C$4,'EXPENDITURE LOG'!$A$5:$A$504,"&lt;"&amp;EDATE($C$4,1))</f>
        <v/>
      </c>
      <c r="I52" s="18">
        <f>C52*MAX(0,$F$4)</f>
        <v/>
      </c>
      <c r="J52" s="18">
        <f>H52-I52</f>
        <v/>
      </c>
      <c r="K52" s="15">
        <f>SUMIFS('EXPENDITURE LOG'!$D$5:$D$504,'EXPENDITURE LOG'!$J$5:$J$504,$A52)</f>
        <v/>
      </c>
    </row>
    <row r="53">
      <c r="A53" s="23" t="n"/>
      <c r="B53" s="113" t="inlineStr">
        <is>
          <t>TRANSPORTATION</t>
        </is>
      </c>
      <c r="C53" s="24">
        <f>SUM(C54:C62)</f>
        <v/>
      </c>
      <c r="D53" s="24">
        <f>SUM(D54:D62)</f>
        <v/>
      </c>
      <c r="E53" s="24">
        <f>SUM(E54:E62)</f>
        <v/>
      </c>
      <c r="F53" s="24">
        <f>SUM(F54:F62)</f>
        <v/>
      </c>
      <c r="G53" s="24">
        <f>SUM(G54:G62)</f>
        <v/>
      </c>
      <c r="H53" s="24">
        <f>SUM(H54:H62)</f>
        <v/>
      </c>
      <c r="I53" s="24">
        <f>SUM(I54:I62)</f>
        <v/>
      </c>
      <c r="J53" s="24">
        <f>SUM(J54:J62)</f>
        <v/>
      </c>
      <c r="K53" s="24">
        <f>SUM(K54:K62)</f>
        <v/>
      </c>
    </row>
    <row r="54">
      <c r="A54" s="35">
        <f>EXPENSES!L52</f>
        <v/>
      </c>
      <c r="B54" s="36">
        <f>EXPENSES!B52</f>
        <v/>
      </c>
      <c r="C54" s="31">
        <f>EXPENSES!E52</f>
        <v/>
      </c>
      <c r="D54" s="31">
        <f>IF(AND($F$4&gt;=1,$F$4&lt;=3),CHOOSE($F$4,'SUPPORT PLAN'!$M54,'SUPPORT PLAN'!$T54,'SUPPORT PLAN'!$AA54),0)</f>
        <v/>
      </c>
      <c r="E54" s="18">
        <f>SUMIFS('EXPENDITURE LOG'!$D$5:$D$504,'EXPENDITURE LOG'!$J$5:$J$504,$A54,'EXPENDITURE LOG'!$A$5:$A$504,"&gt;="&amp;$C$4,'EXPENDITURE LOG'!$A$5:$A$504,"&lt;"&amp;EDATE($C$4,1))</f>
        <v/>
      </c>
      <c r="F54" s="18">
        <f>SUMIFS('EXPENDITURE LOG'!$D$5:$D$504,'EXPENDITURE LOG'!$J$5:$J$504,$A54,'EXPENDITURE LOG'!$A$5:$A$504,"&gt;="&amp;$C$4,'EXPENDITURE LOG'!$A$5:$A$504,"&lt;"&amp;EDATE($C$4,1),'EXPENDITURE LOG'!$F$5:$F$504,"Church*")</f>
        <v/>
      </c>
      <c r="G54" s="18">
        <f>E54-C54</f>
        <v/>
      </c>
      <c r="H54" s="18">
        <f>SUMIFS('EXPENDITURE LOG'!$D$5:$D$504,'EXPENDITURE LOG'!$J$5:$J$504,$A54,'EXPENDITURE LOG'!$A$5:$A$504,"&gt;="&amp;'SUPPORT PLAN'!$C$4,'EXPENDITURE LOG'!$A$5:$A$504,"&lt;"&amp;EDATE($C$4,1))</f>
        <v/>
      </c>
      <c r="I54" s="18">
        <f>C54*MAX(0,$F$4)</f>
        <v/>
      </c>
      <c r="J54" s="18">
        <f>H54-I54</f>
        <v/>
      </c>
      <c r="K54" s="15">
        <f>SUMIFS('EXPENDITURE LOG'!$D$5:$D$504,'EXPENDITURE LOG'!$J$5:$J$504,$A54)</f>
        <v/>
      </c>
    </row>
    <row r="55">
      <c r="A55" s="35">
        <f>EXPENSES!L53</f>
        <v/>
      </c>
      <c r="B55" s="36">
        <f>EXPENSES!B53</f>
        <v/>
      </c>
      <c r="C55" s="31">
        <f>EXPENSES!E53</f>
        <v/>
      </c>
      <c r="D55" s="31">
        <f>IF(AND($F$4&gt;=1,$F$4&lt;=3),CHOOSE($F$4,'SUPPORT PLAN'!$M55,'SUPPORT PLAN'!$T55,'SUPPORT PLAN'!$AA55),0)</f>
        <v/>
      </c>
      <c r="E55" s="18">
        <f>SUMIFS('EXPENDITURE LOG'!$D$5:$D$504,'EXPENDITURE LOG'!$J$5:$J$504,$A55,'EXPENDITURE LOG'!$A$5:$A$504,"&gt;="&amp;$C$4,'EXPENDITURE LOG'!$A$5:$A$504,"&lt;"&amp;EDATE($C$4,1))</f>
        <v/>
      </c>
      <c r="F55" s="18">
        <f>SUMIFS('EXPENDITURE LOG'!$D$5:$D$504,'EXPENDITURE LOG'!$J$5:$J$504,$A55,'EXPENDITURE LOG'!$A$5:$A$504,"&gt;="&amp;$C$4,'EXPENDITURE LOG'!$A$5:$A$504,"&lt;"&amp;EDATE($C$4,1),'EXPENDITURE LOG'!$F$5:$F$504,"Church*")</f>
        <v/>
      </c>
      <c r="G55" s="18">
        <f>E55-C55</f>
        <v/>
      </c>
      <c r="H55" s="18">
        <f>SUMIFS('EXPENDITURE LOG'!$D$5:$D$504,'EXPENDITURE LOG'!$J$5:$J$504,$A55,'EXPENDITURE LOG'!$A$5:$A$504,"&gt;="&amp;'SUPPORT PLAN'!$C$4,'EXPENDITURE LOG'!$A$5:$A$504,"&lt;"&amp;EDATE($C$4,1))</f>
        <v/>
      </c>
      <c r="I55" s="18">
        <f>C55*MAX(0,$F$4)</f>
        <v/>
      </c>
      <c r="J55" s="18">
        <f>H55-I55</f>
        <v/>
      </c>
      <c r="K55" s="15">
        <f>SUMIFS('EXPENDITURE LOG'!$D$5:$D$504,'EXPENDITURE LOG'!$J$5:$J$504,$A55)</f>
        <v/>
      </c>
    </row>
    <row r="56">
      <c r="A56" s="35">
        <f>EXPENSES!L54</f>
        <v/>
      </c>
      <c r="B56" s="36">
        <f>EXPENSES!B54</f>
        <v/>
      </c>
      <c r="C56" s="31">
        <f>EXPENSES!E54</f>
        <v/>
      </c>
      <c r="D56" s="31">
        <f>IF(AND($F$4&gt;=1,$F$4&lt;=3),CHOOSE($F$4,'SUPPORT PLAN'!$M56,'SUPPORT PLAN'!$T56,'SUPPORT PLAN'!$AA56),0)</f>
        <v/>
      </c>
      <c r="E56" s="18">
        <f>SUMIFS('EXPENDITURE LOG'!$D$5:$D$504,'EXPENDITURE LOG'!$J$5:$J$504,$A56,'EXPENDITURE LOG'!$A$5:$A$504,"&gt;="&amp;$C$4,'EXPENDITURE LOG'!$A$5:$A$504,"&lt;"&amp;EDATE($C$4,1))</f>
        <v/>
      </c>
      <c r="F56" s="18">
        <f>SUMIFS('EXPENDITURE LOG'!$D$5:$D$504,'EXPENDITURE LOG'!$J$5:$J$504,$A56,'EXPENDITURE LOG'!$A$5:$A$504,"&gt;="&amp;$C$4,'EXPENDITURE LOG'!$A$5:$A$504,"&lt;"&amp;EDATE($C$4,1),'EXPENDITURE LOG'!$F$5:$F$504,"Church*")</f>
        <v/>
      </c>
      <c r="G56" s="18">
        <f>E56-C56</f>
        <v/>
      </c>
      <c r="H56" s="18">
        <f>SUMIFS('EXPENDITURE LOG'!$D$5:$D$504,'EXPENDITURE LOG'!$J$5:$J$504,$A56,'EXPENDITURE LOG'!$A$5:$A$504,"&gt;="&amp;'SUPPORT PLAN'!$C$4,'EXPENDITURE LOG'!$A$5:$A$504,"&lt;"&amp;EDATE($C$4,1))</f>
        <v/>
      </c>
      <c r="I56" s="18">
        <f>C56*MAX(0,$F$4)</f>
        <v/>
      </c>
      <c r="J56" s="18">
        <f>H56-I56</f>
        <v/>
      </c>
      <c r="K56" s="15">
        <f>SUMIFS('EXPENDITURE LOG'!$D$5:$D$504,'EXPENDITURE LOG'!$J$5:$J$504,$A56)</f>
        <v/>
      </c>
    </row>
    <row r="57">
      <c r="A57" s="35">
        <f>EXPENSES!L55</f>
        <v/>
      </c>
      <c r="B57" s="36">
        <f>EXPENSES!B55</f>
        <v/>
      </c>
      <c r="C57" s="31">
        <f>EXPENSES!E55</f>
        <v/>
      </c>
      <c r="D57" s="31">
        <f>IF(AND($F$4&gt;=1,$F$4&lt;=3),CHOOSE($F$4,'SUPPORT PLAN'!$M57,'SUPPORT PLAN'!$T57,'SUPPORT PLAN'!$AA57),0)</f>
        <v/>
      </c>
      <c r="E57" s="18">
        <f>SUMIFS('EXPENDITURE LOG'!$D$5:$D$504,'EXPENDITURE LOG'!$J$5:$J$504,$A57,'EXPENDITURE LOG'!$A$5:$A$504,"&gt;="&amp;$C$4,'EXPENDITURE LOG'!$A$5:$A$504,"&lt;"&amp;EDATE($C$4,1))</f>
        <v/>
      </c>
      <c r="F57" s="18">
        <f>SUMIFS('EXPENDITURE LOG'!$D$5:$D$504,'EXPENDITURE LOG'!$J$5:$J$504,$A57,'EXPENDITURE LOG'!$A$5:$A$504,"&gt;="&amp;$C$4,'EXPENDITURE LOG'!$A$5:$A$504,"&lt;"&amp;EDATE($C$4,1),'EXPENDITURE LOG'!$F$5:$F$504,"Church*")</f>
        <v/>
      </c>
      <c r="G57" s="18">
        <f>E57-C57</f>
        <v/>
      </c>
      <c r="H57" s="18">
        <f>SUMIFS('EXPENDITURE LOG'!$D$5:$D$504,'EXPENDITURE LOG'!$J$5:$J$504,$A57,'EXPENDITURE LOG'!$A$5:$A$504,"&gt;="&amp;'SUPPORT PLAN'!$C$4,'EXPENDITURE LOG'!$A$5:$A$504,"&lt;"&amp;EDATE($C$4,1))</f>
        <v/>
      </c>
      <c r="I57" s="18">
        <f>C57*MAX(0,$F$4)</f>
        <v/>
      </c>
      <c r="J57" s="18">
        <f>H57-I57</f>
        <v/>
      </c>
      <c r="K57" s="15">
        <f>SUMIFS('EXPENDITURE LOG'!$D$5:$D$504,'EXPENDITURE LOG'!$J$5:$J$504,$A57)</f>
        <v/>
      </c>
    </row>
    <row r="58">
      <c r="A58" s="35">
        <f>EXPENSES!L56</f>
        <v/>
      </c>
      <c r="B58" s="36">
        <f>EXPENSES!B56</f>
        <v/>
      </c>
      <c r="C58" s="31">
        <f>EXPENSES!E56</f>
        <v/>
      </c>
      <c r="D58" s="31">
        <f>IF(AND($F$4&gt;=1,$F$4&lt;=3),CHOOSE($F$4,'SUPPORT PLAN'!$M58,'SUPPORT PLAN'!$T58,'SUPPORT PLAN'!$AA58),0)</f>
        <v/>
      </c>
      <c r="E58" s="18">
        <f>SUMIFS('EXPENDITURE LOG'!$D$5:$D$504,'EXPENDITURE LOG'!$J$5:$J$504,$A58,'EXPENDITURE LOG'!$A$5:$A$504,"&gt;="&amp;$C$4,'EXPENDITURE LOG'!$A$5:$A$504,"&lt;"&amp;EDATE($C$4,1))</f>
        <v/>
      </c>
      <c r="F58" s="18">
        <f>SUMIFS('EXPENDITURE LOG'!$D$5:$D$504,'EXPENDITURE LOG'!$J$5:$J$504,$A58,'EXPENDITURE LOG'!$A$5:$A$504,"&gt;="&amp;$C$4,'EXPENDITURE LOG'!$A$5:$A$504,"&lt;"&amp;EDATE($C$4,1),'EXPENDITURE LOG'!$F$5:$F$504,"Church*")</f>
        <v/>
      </c>
      <c r="G58" s="18">
        <f>E58-C58</f>
        <v/>
      </c>
      <c r="H58" s="18">
        <f>SUMIFS('EXPENDITURE LOG'!$D$5:$D$504,'EXPENDITURE LOG'!$J$5:$J$504,$A58,'EXPENDITURE LOG'!$A$5:$A$504,"&gt;="&amp;'SUPPORT PLAN'!$C$4,'EXPENDITURE LOG'!$A$5:$A$504,"&lt;"&amp;EDATE($C$4,1))</f>
        <v/>
      </c>
      <c r="I58" s="18">
        <f>C58*MAX(0,$F$4)</f>
        <v/>
      </c>
      <c r="J58" s="18">
        <f>H58-I58</f>
        <v/>
      </c>
      <c r="K58" s="15">
        <f>SUMIFS('EXPENDITURE LOG'!$D$5:$D$504,'EXPENDITURE LOG'!$J$5:$J$504,$A58)</f>
        <v/>
      </c>
    </row>
    <row r="59">
      <c r="A59" s="35">
        <f>EXPENSES!L57</f>
        <v/>
      </c>
      <c r="B59" s="36">
        <f>EXPENSES!B57</f>
        <v/>
      </c>
      <c r="C59" s="31">
        <f>EXPENSES!E57</f>
        <v/>
      </c>
      <c r="D59" s="31">
        <f>IF(AND($F$4&gt;=1,$F$4&lt;=3),CHOOSE($F$4,'SUPPORT PLAN'!$M59,'SUPPORT PLAN'!$T59,'SUPPORT PLAN'!$AA59),0)</f>
        <v/>
      </c>
      <c r="E59" s="18">
        <f>SUMIFS('EXPENDITURE LOG'!$D$5:$D$504,'EXPENDITURE LOG'!$J$5:$J$504,$A59,'EXPENDITURE LOG'!$A$5:$A$504,"&gt;="&amp;$C$4,'EXPENDITURE LOG'!$A$5:$A$504,"&lt;"&amp;EDATE($C$4,1))</f>
        <v/>
      </c>
      <c r="F59" s="18">
        <f>SUMIFS('EXPENDITURE LOG'!$D$5:$D$504,'EXPENDITURE LOG'!$J$5:$J$504,$A59,'EXPENDITURE LOG'!$A$5:$A$504,"&gt;="&amp;$C$4,'EXPENDITURE LOG'!$A$5:$A$504,"&lt;"&amp;EDATE($C$4,1),'EXPENDITURE LOG'!$F$5:$F$504,"Church*")</f>
        <v/>
      </c>
      <c r="G59" s="18">
        <f>E59-C59</f>
        <v/>
      </c>
      <c r="H59" s="18">
        <f>SUMIFS('EXPENDITURE LOG'!$D$5:$D$504,'EXPENDITURE LOG'!$J$5:$J$504,$A59,'EXPENDITURE LOG'!$A$5:$A$504,"&gt;="&amp;'SUPPORT PLAN'!$C$4,'EXPENDITURE LOG'!$A$5:$A$504,"&lt;"&amp;EDATE($C$4,1))</f>
        <v/>
      </c>
      <c r="I59" s="18">
        <f>C59*MAX(0,$F$4)</f>
        <v/>
      </c>
      <c r="J59" s="18">
        <f>H59-I59</f>
        <v/>
      </c>
      <c r="K59" s="15">
        <f>SUMIFS('EXPENDITURE LOG'!$D$5:$D$504,'EXPENDITURE LOG'!$J$5:$J$504,$A59)</f>
        <v/>
      </c>
    </row>
    <row r="60">
      <c r="A60" s="35">
        <f>EXPENSES!L58</f>
        <v/>
      </c>
      <c r="B60" s="36">
        <f>EXPENSES!B58</f>
        <v/>
      </c>
      <c r="C60" s="31">
        <f>EXPENSES!E58</f>
        <v/>
      </c>
      <c r="D60" s="31">
        <f>IF(AND($F$4&gt;=1,$F$4&lt;=3),CHOOSE($F$4,'SUPPORT PLAN'!$M60,'SUPPORT PLAN'!$T60,'SUPPORT PLAN'!$AA60),0)</f>
        <v/>
      </c>
      <c r="E60" s="18">
        <f>SUMIFS('EXPENDITURE LOG'!$D$5:$D$504,'EXPENDITURE LOG'!$J$5:$J$504,$A60,'EXPENDITURE LOG'!$A$5:$A$504,"&gt;="&amp;$C$4,'EXPENDITURE LOG'!$A$5:$A$504,"&lt;"&amp;EDATE($C$4,1))</f>
        <v/>
      </c>
      <c r="F60" s="18">
        <f>SUMIFS('EXPENDITURE LOG'!$D$5:$D$504,'EXPENDITURE LOG'!$J$5:$J$504,$A60,'EXPENDITURE LOG'!$A$5:$A$504,"&gt;="&amp;$C$4,'EXPENDITURE LOG'!$A$5:$A$504,"&lt;"&amp;EDATE($C$4,1),'EXPENDITURE LOG'!$F$5:$F$504,"Church*")</f>
        <v/>
      </c>
      <c r="G60" s="18">
        <f>E60-C60</f>
        <v/>
      </c>
      <c r="H60" s="18">
        <f>SUMIFS('EXPENDITURE LOG'!$D$5:$D$504,'EXPENDITURE LOG'!$J$5:$J$504,$A60,'EXPENDITURE LOG'!$A$5:$A$504,"&gt;="&amp;'SUPPORT PLAN'!$C$4,'EXPENDITURE LOG'!$A$5:$A$504,"&lt;"&amp;EDATE($C$4,1))</f>
        <v/>
      </c>
      <c r="I60" s="18">
        <f>C60*MAX(0,$F$4)</f>
        <v/>
      </c>
      <c r="J60" s="18">
        <f>H60-I60</f>
        <v/>
      </c>
      <c r="K60" s="15">
        <f>SUMIFS('EXPENDITURE LOG'!$D$5:$D$504,'EXPENDITURE LOG'!$J$5:$J$504,$A60)</f>
        <v/>
      </c>
    </row>
    <row r="61">
      <c r="A61" s="35">
        <f>EXPENSES!L59</f>
        <v/>
      </c>
      <c r="B61" s="36">
        <f>EXPENSES!B59</f>
        <v/>
      </c>
      <c r="C61" s="31">
        <f>EXPENSES!E59</f>
        <v/>
      </c>
      <c r="D61" s="31">
        <f>IF(AND($F$4&gt;=1,$F$4&lt;=3),CHOOSE($F$4,'SUPPORT PLAN'!$M61,'SUPPORT PLAN'!$T61,'SUPPORT PLAN'!$AA61),0)</f>
        <v/>
      </c>
      <c r="E61" s="18">
        <f>SUMIFS('EXPENDITURE LOG'!$D$5:$D$504,'EXPENDITURE LOG'!$J$5:$J$504,$A61,'EXPENDITURE LOG'!$A$5:$A$504,"&gt;="&amp;$C$4,'EXPENDITURE LOG'!$A$5:$A$504,"&lt;"&amp;EDATE($C$4,1))</f>
        <v/>
      </c>
      <c r="F61" s="18">
        <f>SUMIFS('EXPENDITURE LOG'!$D$5:$D$504,'EXPENDITURE LOG'!$J$5:$J$504,$A61,'EXPENDITURE LOG'!$A$5:$A$504,"&gt;="&amp;$C$4,'EXPENDITURE LOG'!$A$5:$A$504,"&lt;"&amp;EDATE($C$4,1),'EXPENDITURE LOG'!$F$5:$F$504,"Church*")</f>
        <v/>
      </c>
      <c r="G61" s="18">
        <f>E61-C61</f>
        <v/>
      </c>
      <c r="H61" s="18">
        <f>SUMIFS('EXPENDITURE LOG'!$D$5:$D$504,'EXPENDITURE LOG'!$J$5:$J$504,$A61,'EXPENDITURE LOG'!$A$5:$A$504,"&gt;="&amp;'SUPPORT PLAN'!$C$4,'EXPENDITURE LOG'!$A$5:$A$504,"&lt;"&amp;EDATE($C$4,1))</f>
        <v/>
      </c>
      <c r="I61" s="18">
        <f>C61*MAX(0,$F$4)</f>
        <v/>
      </c>
      <c r="J61" s="18">
        <f>H61-I61</f>
        <v/>
      </c>
      <c r="K61" s="15">
        <f>SUMIFS('EXPENDITURE LOG'!$D$5:$D$504,'EXPENDITURE LOG'!$J$5:$J$504,$A61)</f>
        <v/>
      </c>
    </row>
    <row r="62">
      <c r="A62" s="35">
        <f>EXPENSES!L60</f>
        <v/>
      </c>
      <c r="B62" s="36">
        <f>EXPENSES!B60</f>
        <v/>
      </c>
      <c r="C62" s="31">
        <f>EXPENSES!E60</f>
        <v/>
      </c>
      <c r="D62" s="31">
        <f>IF(AND($F$4&gt;=1,$F$4&lt;=3),CHOOSE($F$4,'SUPPORT PLAN'!$M62,'SUPPORT PLAN'!$T62,'SUPPORT PLAN'!$AA62),0)</f>
        <v/>
      </c>
      <c r="E62" s="18">
        <f>SUMIFS('EXPENDITURE LOG'!$D$5:$D$504,'EXPENDITURE LOG'!$J$5:$J$504,$A62,'EXPENDITURE LOG'!$A$5:$A$504,"&gt;="&amp;$C$4,'EXPENDITURE LOG'!$A$5:$A$504,"&lt;"&amp;EDATE($C$4,1))</f>
        <v/>
      </c>
      <c r="F62" s="18">
        <f>SUMIFS('EXPENDITURE LOG'!$D$5:$D$504,'EXPENDITURE LOG'!$J$5:$J$504,$A62,'EXPENDITURE LOG'!$A$5:$A$504,"&gt;="&amp;$C$4,'EXPENDITURE LOG'!$A$5:$A$504,"&lt;"&amp;EDATE($C$4,1),'EXPENDITURE LOG'!$F$5:$F$504,"Church*")</f>
        <v/>
      </c>
      <c r="G62" s="18">
        <f>E62-C62</f>
        <v/>
      </c>
      <c r="H62" s="18">
        <f>SUMIFS('EXPENDITURE LOG'!$D$5:$D$504,'EXPENDITURE LOG'!$J$5:$J$504,$A62,'EXPENDITURE LOG'!$A$5:$A$504,"&gt;="&amp;'SUPPORT PLAN'!$C$4,'EXPENDITURE LOG'!$A$5:$A$504,"&lt;"&amp;EDATE($C$4,1))</f>
        <v/>
      </c>
      <c r="I62" s="18">
        <f>C62*MAX(0,$F$4)</f>
        <v/>
      </c>
      <c r="J62" s="18">
        <f>H62-I62</f>
        <v/>
      </c>
      <c r="K62" s="15">
        <f>SUMIFS('EXPENDITURE LOG'!$D$5:$D$504,'EXPENDITURE LOG'!$J$5:$J$504,$A62)</f>
        <v/>
      </c>
    </row>
    <row r="63">
      <c r="A63" s="23" t="n"/>
      <c r="B63" s="113" t="inlineStr">
        <is>
          <t>MEDICAL &amp; HEALTH</t>
        </is>
      </c>
      <c r="C63" s="24">
        <f>SUM(C64:C72)</f>
        <v/>
      </c>
      <c r="D63" s="24">
        <f>SUM(D64:D72)</f>
        <v/>
      </c>
      <c r="E63" s="24">
        <f>SUM(E64:E72)</f>
        <v/>
      </c>
      <c r="F63" s="24">
        <f>SUM(F64:F72)</f>
        <v/>
      </c>
      <c r="G63" s="24">
        <f>SUM(G64:G72)</f>
        <v/>
      </c>
      <c r="H63" s="24">
        <f>SUM(H64:H72)</f>
        <v/>
      </c>
      <c r="I63" s="24">
        <f>SUM(I64:I72)</f>
        <v/>
      </c>
      <c r="J63" s="24">
        <f>SUM(J64:J72)</f>
        <v/>
      </c>
      <c r="K63" s="24">
        <f>SUM(K64:K72)</f>
        <v/>
      </c>
    </row>
    <row r="64">
      <c r="A64" s="35">
        <f>EXPENSES!L62</f>
        <v/>
      </c>
      <c r="B64" s="36">
        <f>EXPENSES!B62</f>
        <v/>
      </c>
      <c r="C64" s="31">
        <f>EXPENSES!E62</f>
        <v/>
      </c>
      <c r="D64" s="31">
        <f>IF(AND($F$4&gt;=1,$F$4&lt;=3),CHOOSE($F$4,'SUPPORT PLAN'!$M64,'SUPPORT PLAN'!$T64,'SUPPORT PLAN'!$AA64),0)</f>
        <v/>
      </c>
      <c r="E64" s="18">
        <f>SUMIFS('EXPENDITURE LOG'!$D$5:$D$504,'EXPENDITURE LOG'!$J$5:$J$504,$A64,'EXPENDITURE LOG'!$A$5:$A$504,"&gt;="&amp;$C$4,'EXPENDITURE LOG'!$A$5:$A$504,"&lt;"&amp;EDATE($C$4,1))</f>
        <v/>
      </c>
      <c r="F64" s="18">
        <f>SUMIFS('EXPENDITURE LOG'!$D$5:$D$504,'EXPENDITURE LOG'!$J$5:$J$504,$A64,'EXPENDITURE LOG'!$A$5:$A$504,"&gt;="&amp;$C$4,'EXPENDITURE LOG'!$A$5:$A$504,"&lt;"&amp;EDATE($C$4,1),'EXPENDITURE LOG'!$F$5:$F$504,"Church*")</f>
        <v/>
      </c>
      <c r="G64" s="18">
        <f>E64-C64</f>
        <v/>
      </c>
      <c r="H64" s="18">
        <f>SUMIFS('EXPENDITURE LOG'!$D$5:$D$504,'EXPENDITURE LOG'!$J$5:$J$504,$A64,'EXPENDITURE LOG'!$A$5:$A$504,"&gt;="&amp;'SUPPORT PLAN'!$C$4,'EXPENDITURE LOG'!$A$5:$A$504,"&lt;"&amp;EDATE($C$4,1))</f>
        <v/>
      </c>
      <c r="I64" s="18">
        <f>C64*MAX(0,$F$4)</f>
        <v/>
      </c>
      <c r="J64" s="18">
        <f>H64-I64</f>
        <v/>
      </c>
      <c r="K64" s="15">
        <f>SUMIFS('EXPENDITURE LOG'!$D$5:$D$504,'EXPENDITURE LOG'!$J$5:$J$504,$A64)</f>
        <v/>
      </c>
    </row>
    <row r="65">
      <c r="A65" s="35">
        <f>EXPENSES!L63</f>
        <v/>
      </c>
      <c r="B65" s="36">
        <f>EXPENSES!B63</f>
        <v/>
      </c>
      <c r="C65" s="31">
        <f>EXPENSES!E63</f>
        <v/>
      </c>
      <c r="D65" s="31">
        <f>IF(AND($F$4&gt;=1,$F$4&lt;=3),CHOOSE($F$4,'SUPPORT PLAN'!$M65,'SUPPORT PLAN'!$T65,'SUPPORT PLAN'!$AA65),0)</f>
        <v/>
      </c>
      <c r="E65" s="18">
        <f>SUMIFS('EXPENDITURE LOG'!$D$5:$D$504,'EXPENDITURE LOG'!$J$5:$J$504,$A65,'EXPENDITURE LOG'!$A$5:$A$504,"&gt;="&amp;$C$4,'EXPENDITURE LOG'!$A$5:$A$504,"&lt;"&amp;EDATE($C$4,1))</f>
        <v/>
      </c>
      <c r="F65" s="18">
        <f>SUMIFS('EXPENDITURE LOG'!$D$5:$D$504,'EXPENDITURE LOG'!$J$5:$J$504,$A65,'EXPENDITURE LOG'!$A$5:$A$504,"&gt;="&amp;$C$4,'EXPENDITURE LOG'!$A$5:$A$504,"&lt;"&amp;EDATE($C$4,1),'EXPENDITURE LOG'!$F$5:$F$504,"Church*")</f>
        <v/>
      </c>
      <c r="G65" s="18">
        <f>E65-C65</f>
        <v/>
      </c>
      <c r="H65" s="18">
        <f>SUMIFS('EXPENDITURE LOG'!$D$5:$D$504,'EXPENDITURE LOG'!$J$5:$J$504,$A65,'EXPENDITURE LOG'!$A$5:$A$504,"&gt;="&amp;'SUPPORT PLAN'!$C$4,'EXPENDITURE LOG'!$A$5:$A$504,"&lt;"&amp;EDATE($C$4,1))</f>
        <v/>
      </c>
      <c r="I65" s="18">
        <f>C65*MAX(0,$F$4)</f>
        <v/>
      </c>
      <c r="J65" s="18">
        <f>H65-I65</f>
        <v/>
      </c>
      <c r="K65" s="15">
        <f>SUMIFS('EXPENDITURE LOG'!$D$5:$D$504,'EXPENDITURE LOG'!$J$5:$J$504,$A65)</f>
        <v/>
      </c>
    </row>
    <row r="66">
      <c r="A66" s="35">
        <f>EXPENSES!L64</f>
        <v/>
      </c>
      <c r="B66" s="36">
        <f>EXPENSES!B64</f>
        <v/>
      </c>
      <c r="C66" s="31">
        <f>EXPENSES!E64</f>
        <v/>
      </c>
      <c r="D66" s="31">
        <f>IF(AND($F$4&gt;=1,$F$4&lt;=3),CHOOSE($F$4,'SUPPORT PLAN'!$M66,'SUPPORT PLAN'!$T66,'SUPPORT PLAN'!$AA66),0)</f>
        <v/>
      </c>
      <c r="E66" s="18">
        <f>SUMIFS('EXPENDITURE LOG'!$D$5:$D$504,'EXPENDITURE LOG'!$J$5:$J$504,$A66,'EXPENDITURE LOG'!$A$5:$A$504,"&gt;="&amp;$C$4,'EXPENDITURE LOG'!$A$5:$A$504,"&lt;"&amp;EDATE($C$4,1))</f>
        <v/>
      </c>
      <c r="F66" s="18">
        <f>SUMIFS('EXPENDITURE LOG'!$D$5:$D$504,'EXPENDITURE LOG'!$J$5:$J$504,$A66,'EXPENDITURE LOG'!$A$5:$A$504,"&gt;="&amp;$C$4,'EXPENDITURE LOG'!$A$5:$A$504,"&lt;"&amp;EDATE($C$4,1),'EXPENDITURE LOG'!$F$5:$F$504,"Church*")</f>
        <v/>
      </c>
      <c r="G66" s="18">
        <f>E66-C66</f>
        <v/>
      </c>
      <c r="H66" s="18">
        <f>SUMIFS('EXPENDITURE LOG'!$D$5:$D$504,'EXPENDITURE LOG'!$J$5:$J$504,$A66,'EXPENDITURE LOG'!$A$5:$A$504,"&gt;="&amp;'SUPPORT PLAN'!$C$4,'EXPENDITURE LOG'!$A$5:$A$504,"&lt;"&amp;EDATE($C$4,1))</f>
        <v/>
      </c>
      <c r="I66" s="18">
        <f>C66*MAX(0,$F$4)</f>
        <v/>
      </c>
      <c r="J66" s="18">
        <f>H66-I66</f>
        <v/>
      </c>
      <c r="K66" s="15">
        <f>SUMIFS('EXPENDITURE LOG'!$D$5:$D$504,'EXPENDITURE LOG'!$J$5:$J$504,$A66)</f>
        <v/>
      </c>
    </row>
    <row r="67">
      <c r="A67" s="35">
        <f>EXPENSES!L65</f>
        <v/>
      </c>
      <c r="B67" s="36">
        <f>EXPENSES!B65</f>
        <v/>
      </c>
      <c r="C67" s="31">
        <f>EXPENSES!E65</f>
        <v/>
      </c>
      <c r="D67" s="31">
        <f>IF(AND($F$4&gt;=1,$F$4&lt;=3),CHOOSE($F$4,'SUPPORT PLAN'!$M67,'SUPPORT PLAN'!$T67,'SUPPORT PLAN'!$AA67),0)</f>
        <v/>
      </c>
      <c r="E67" s="18">
        <f>SUMIFS('EXPENDITURE LOG'!$D$5:$D$504,'EXPENDITURE LOG'!$J$5:$J$504,$A67,'EXPENDITURE LOG'!$A$5:$A$504,"&gt;="&amp;$C$4,'EXPENDITURE LOG'!$A$5:$A$504,"&lt;"&amp;EDATE($C$4,1))</f>
        <v/>
      </c>
      <c r="F67" s="18">
        <f>SUMIFS('EXPENDITURE LOG'!$D$5:$D$504,'EXPENDITURE LOG'!$J$5:$J$504,$A67,'EXPENDITURE LOG'!$A$5:$A$504,"&gt;="&amp;$C$4,'EXPENDITURE LOG'!$A$5:$A$504,"&lt;"&amp;EDATE($C$4,1),'EXPENDITURE LOG'!$F$5:$F$504,"Church*")</f>
        <v/>
      </c>
      <c r="G67" s="18">
        <f>E67-C67</f>
        <v/>
      </c>
      <c r="H67" s="18">
        <f>SUMIFS('EXPENDITURE LOG'!$D$5:$D$504,'EXPENDITURE LOG'!$J$5:$J$504,$A67,'EXPENDITURE LOG'!$A$5:$A$504,"&gt;="&amp;'SUPPORT PLAN'!$C$4,'EXPENDITURE LOG'!$A$5:$A$504,"&lt;"&amp;EDATE($C$4,1))</f>
        <v/>
      </c>
      <c r="I67" s="18">
        <f>C67*MAX(0,$F$4)</f>
        <v/>
      </c>
      <c r="J67" s="18">
        <f>H67-I67</f>
        <v/>
      </c>
      <c r="K67" s="15">
        <f>SUMIFS('EXPENDITURE LOG'!$D$5:$D$504,'EXPENDITURE LOG'!$J$5:$J$504,$A67)</f>
        <v/>
      </c>
    </row>
    <row r="68">
      <c r="A68" s="35">
        <f>EXPENSES!L66</f>
        <v/>
      </c>
      <c r="B68" s="36">
        <f>EXPENSES!B66</f>
        <v/>
      </c>
      <c r="C68" s="31">
        <f>EXPENSES!E66</f>
        <v/>
      </c>
      <c r="D68" s="31">
        <f>IF(AND($F$4&gt;=1,$F$4&lt;=3),CHOOSE($F$4,'SUPPORT PLAN'!$M68,'SUPPORT PLAN'!$T68,'SUPPORT PLAN'!$AA68),0)</f>
        <v/>
      </c>
      <c r="E68" s="18">
        <f>SUMIFS('EXPENDITURE LOG'!$D$5:$D$504,'EXPENDITURE LOG'!$J$5:$J$504,$A68,'EXPENDITURE LOG'!$A$5:$A$504,"&gt;="&amp;$C$4,'EXPENDITURE LOG'!$A$5:$A$504,"&lt;"&amp;EDATE($C$4,1))</f>
        <v/>
      </c>
      <c r="F68" s="18">
        <f>SUMIFS('EXPENDITURE LOG'!$D$5:$D$504,'EXPENDITURE LOG'!$J$5:$J$504,$A68,'EXPENDITURE LOG'!$A$5:$A$504,"&gt;="&amp;$C$4,'EXPENDITURE LOG'!$A$5:$A$504,"&lt;"&amp;EDATE($C$4,1),'EXPENDITURE LOG'!$F$5:$F$504,"Church*")</f>
        <v/>
      </c>
      <c r="G68" s="18">
        <f>E68-C68</f>
        <v/>
      </c>
      <c r="H68" s="18">
        <f>SUMIFS('EXPENDITURE LOG'!$D$5:$D$504,'EXPENDITURE LOG'!$J$5:$J$504,$A68,'EXPENDITURE LOG'!$A$5:$A$504,"&gt;="&amp;'SUPPORT PLAN'!$C$4,'EXPENDITURE LOG'!$A$5:$A$504,"&lt;"&amp;EDATE($C$4,1))</f>
        <v/>
      </c>
      <c r="I68" s="18">
        <f>C68*MAX(0,$F$4)</f>
        <v/>
      </c>
      <c r="J68" s="18">
        <f>H68-I68</f>
        <v/>
      </c>
      <c r="K68" s="15">
        <f>SUMIFS('EXPENDITURE LOG'!$D$5:$D$504,'EXPENDITURE LOG'!$J$5:$J$504,$A68)</f>
        <v/>
      </c>
    </row>
    <row r="69">
      <c r="A69" s="35">
        <f>EXPENSES!L67</f>
        <v/>
      </c>
      <c r="B69" s="36">
        <f>EXPENSES!B67</f>
        <v/>
      </c>
      <c r="C69" s="31">
        <f>EXPENSES!E67</f>
        <v/>
      </c>
      <c r="D69" s="31">
        <f>IF(AND($F$4&gt;=1,$F$4&lt;=3),CHOOSE($F$4,'SUPPORT PLAN'!$M69,'SUPPORT PLAN'!$T69,'SUPPORT PLAN'!$AA69),0)</f>
        <v/>
      </c>
      <c r="E69" s="18">
        <f>SUMIFS('EXPENDITURE LOG'!$D$5:$D$504,'EXPENDITURE LOG'!$J$5:$J$504,$A69,'EXPENDITURE LOG'!$A$5:$A$504,"&gt;="&amp;$C$4,'EXPENDITURE LOG'!$A$5:$A$504,"&lt;"&amp;EDATE($C$4,1))</f>
        <v/>
      </c>
      <c r="F69" s="18">
        <f>SUMIFS('EXPENDITURE LOG'!$D$5:$D$504,'EXPENDITURE LOG'!$J$5:$J$504,$A69,'EXPENDITURE LOG'!$A$5:$A$504,"&gt;="&amp;$C$4,'EXPENDITURE LOG'!$A$5:$A$504,"&lt;"&amp;EDATE($C$4,1),'EXPENDITURE LOG'!$F$5:$F$504,"Church*")</f>
        <v/>
      </c>
      <c r="G69" s="18">
        <f>E69-C69</f>
        <v/>
      </c>
      <c r="H69" s="18">
        <f>SUMIFS('EXPENDITURE LOG'!$D$5:$D$504,'EXPENDITURE LOG'!$J$5:$J$504,$A69,'EXPENDITURE LOG'!$A$5:$A$504,"&gt;="&amp;'SUPPORT PLAN'!$C$4,'EXPENDITURE LOG'!$A$5:$A$504,"&lt;"&amp;EDATE($C$4,1))</f>
        <v/>
      </c>
      <c r="I69" s="18">
        <f>C69*MAX(0,$F$4)</f>
        <v/>
      </c>
      <c r="J69" s="18">
        <f>H69-I69</f>
        <v/>
      </c>
      <c r="K69" s="15">
        <f>SUMIFS('EXPENDITURE LOG'!$D$5:$D$504,'EXPENDITURE LOG'!$J$5:$J$504,$A69)</f>
        <v/>
      </c>
    </row>
    <row r="70">
      <c r="A70" s="35">
        <f>EXPENSES!L68</f>
        <v/>
      </c>
      <c r="B70" s="36">
        <f>EXPENSES!B68</f>
        <v/>
      </c>
      <c r="C70" s="31">
        <f>EXPENSES!E68</f>
        <v/>
      </c>
      <c r="D70" s="31">
        <f>IF(AND($F$4&gt;=1,$F$4&lt;=3),CHOOSE($F$4,'SUPPORT PLAN'!$M70,'SUPPORT PLAN'!$T70,'SUPPORT PLAN'!$AA70),0)</f>
        <v/>
      </c>
      <c r="E70" s="18">
        <f>SUMIFS('EXPENDITURE LOG'!$D$5:$D$504,'EXPENDITURE LOG'!$J$5:$J$504,$A70,'EXPENDITURE LOG'!$A$5:$A$504,"&gt;="&amp;$C$4,'EXPENDITURE LOG'!$A$5:$A$504,"&lt;"&amp;EDATE($C$4,1))</f>
        <v/>
      </c>
      <c r="F70" s="18">
        <f>SUMIFS('EXPENDITURE LOG'!$D$5:$D$504,'EXPENDITURE LOG'!$J$5:$J$504,$A70,'EXPENDITURE LOG'!$A$5:$A$504,"&gt;="&amp;$C$4,'EXPENDITURE LOG'!$A$5:$A$504,"&lt;"&amp;EDATE($C$4,1),'EXPENDITURE LOG'!$F$5:$F$504,"Church*")</f>
        <v/>
      </c>
      <c r="G70" s="18">
        <f>E70-C70</f>
        <v/>
      </c>
      <c r="H70" s="18">
        <f>SUMIFS('EXPENDITURE LOG'!$D$5:$D$504,'EXPENDITURE LOG'!$J$5:$J$504,$A70,'EXPENDITURE LOG'!$A$5:$A$504,"&gt;="&amp;'SUPPORT PLAN'!$C$4,'EXPENDITURE LOG'!$A$5:$A$504,"&lt;"&amp;EDATE($C$4,1))</f>
        <v/>
      </c>
      <c r="I70" s="18">
        <f>C70*MAX(0,$F$4)</f>
        <v/>
      </c>
      <c r="J70" s="18">
        <f>H70-I70</f>
        <v/>
      </c>
      <c r="K70" s="15">
        <f>SUMIFS('EXPENDITURE LOG'!$D$5:$D$504,'EXPENDITURE LOG'!$J$5:$J$504,$A70)</f>
        <v/>
      </c>
    </row>
    <row r="71">
      <c r="A71" s="35">
        <f>EXPENSES!L69</f>
        <v/>
      </c>
      <c r="B71" s="36">
        <f>EXPENSES!B69</f>
        <v/>
      </c>
      <c r="C71" s="31">
        <f>EXPENSES!E69</f>
        <v/>
      </c>
      <c r="D71" s="31">
        <f>IF(AND($F$4&gt;=1,$F$4&lt;=3),CHOOSE($F$4,'SUPPORT PLAN'!$M71,'SUPPORT PLAN'!$T71,'SUPPORT PLAN'!$AA71),0)</f>
        <v/>
      </c>
      <c r="E71" s="18">
        <f>SUMIFS('EXPENDITURE LOG'!$D$5:$D$504,'EXPENDITURE LOG'!$J$5:$J$504,$A71,'EXPENDITURE LOG'!$A$5:$A$504,"&gt;="&amp;$C$4,'EXPENDITURE LOG'!$A$5:$A$504,"&lt;"&amp;EDATE($C$4,1))</f>
        <v/>
      </c>
      <c r="F71" s="18">
        <f>SUMIFS('EXPENDITURE LOG'!$D$5:$D$504,'EXPENDITURE LOG'!$J$5:$J$504,$A71,'EXPENDITURE LOG'!$A$5:$A$504,"&gt;="&amp;$C$4,'EXPENDITURE LOG'!$A$5:$A$504,"&lt;"&amp;EDATE($C$4,1),'EXPENDITURE LOG'!$F$5:$F$504,"Church*")</f>
        <v/>
      </c>
      <c r="G71" s="18">
        <f>E71-C71</f>
        <v/>
      </c>
      <c r="H71" s="18">
        <f>SUMIFS('EXPENDITURE LOG'!$D$5:$D$504,'EXPENDITURE LOG'!$J$5:$J$504,$A71,'EXPENDITURE LOG'!$A$5:$A$504,"&gt;="&amp;'SUPPORT PLAN'!$C$4,'EXPENDITURE LOG'!$A$5:$A$504,"&lt;"&amp;EDATE($C$4,1))</f>
        <v/>
      </c>
      <c r="I71" s="18">
        <f>C71*MAX(0,$F$4)</f>
        <v/>
      </c>
      <c r="J71" s="18">
        <f>H71-I71</f>
        <v/>
      </c>
      <c r="K71" s="15">
        <f>SUMIFS('EXPENDITURE LOG'!$D$5:$D$504,'EXPENDITURE LOG'!$J$5:$J$504,$A71)</f>
        <v/>
      </c>
    </row>
    <row r="72">
      <c r="A72" s="35">
        <f>EXPENSES!L70</f>
        <v/>
      </c>
      <c r="B72" s="36">
        <f>EXPENSES!B70</f>
        <v/>
      </c>
      <c r="C72" s="31">
        <f>EXPENSES!E70</f>
        <v/>
      </c>
      <c r="D72" s="31">
        <f>IF(AND($F$4&gt;=1,$F$4&lt;=3),CHOOSE($F$4,'SUPPORT PLAN'!$M72,'SUPPORT PLAN'!$T72,'SUPPORT PLAN'!$AA72),0)</f>
        <v/>
      </c>
      <c r="E72" s="18">
        <f>SUMIFS('EXPENDITURE LOG'!$D$5:$D$504,'EXPENDITURE LOG'!$J$5:$J$504,$A72,'EXPENDITURE LOG'!$A$5:$A$504,"&gt;="&amp;$C$4,'EXPENDITURE LOG'!$A$5:$A$504,"&lt;"&amp;EDATE($C$4,1))</f>
        <v/>
      </c>
      <c r="F72" s="18">
        <f>SUMIFS('EXPENDITURE LOG'!$D$5:$D$504,'EXPENDITURE LOG'!$J$5:$J$504,$A72,'EXPENDITURE LOG'!$A$5:$A$504,"&gt;="&amp;$C$4,'EXPENDITURE LOG'!$A$5:$A$504,"&lt;"&amp;EDATE($C$4,1),'EXPENDITURE LOG'!$F$5:$F$504,"Church*")</f>
        <v/>
      </c>
      <c r="G72" s="18">
        <f>E72-C72</f>
        <v/>
      </c>
      <c r="H72" s="18">
        <f>SUMIFS('EXPENDITURE LOG'!$D$5:$D$504,'EXPENDITURE LOG'!$J$5:$J$504,$A72,'EXPENDITURE LOG'!$A$5:$A$504,"&gt;="&amp;'SUPPORT PLAN'!$C$4,'EXPENDITURE LOG'!$A$5:$A$504,"&lt;"&amp;EDATE($C$4,1))</f>
        <v/>
      </c>
      <c r="I72" s="18">
        <f>C72*MAX(0,$F$4)</f>
        <v/>
      </c>
      <c r="J72" s="18">
        <f>H72-I72</f>
        <v/>
      </c>
      <c r="K72" s="15">
        <f>SUMIFS('EXPENDITURE LOG'!$D$5:$D$504,'EXPENDITURE LOG'!$J$5:$J$504,$A72)</f>
        <v/>
      </c>
    </row>
    <row r="73">
      <c r="A73" s="23" t="n"/>
      <c r="B73" s="113" t="inlineStr">
        <is>
          <t>CHILDCARE &amp; DEPENDENTS</t>
        </is>
      </c>
      <c r="C73" s="24">
        <f>SUM(C74:C80)</f>
        <v/>
      </c>
      <c r="D73" s="24">
        <f>SUM(D74:D80)</f>
        <v/>
      </c>
      <c r="E73" s="24">
        <f>SUM(E74:E80)</f>
        <v/>
      </c>
      <c r="F73" s="24">
        <f>SUM(F74:F80)</f>
        <v/>
      </c>
      <c r="G73" s="24">
        <f>SUM(G74:G80)</f>
        <v/>
      </c>
      <c r="H73" s="24">
        <f>SUM(H74:H80)</f>
        <v/>
      </c>
      <c r="I73" s="24">
        <f>SUM(I74:I80)</f>
        <v/>
      </c>
      <c r="J73" s="24">
        <f>SUM(J74:J80)</f>
        <v/>
      </c>
      <c r="K73" s="24">
        <f>SUM(K74:K80)</f>
        <v/>
      </c>
    </row>
    <row r="74">
      <c r="A74" s="35">
        <f>EXPENSES!L72</f>
        <v/>
      </c>
      <c r="B74" s="36">
        <f>EXPENSES!B72</f>
        <v/>
      </c>
      <c r="C74" s="31">
        <f>EXPENSES!E72</f>
        <v/>
      </c>
      <c r="D74" s="31">
        <f>IF(AND($F$4&gt;=1,$F$4&lt;=3),CHOOSE($F$4,'SUPPORT PLAN'!$M74,'SUPPORT PLAN'!$T74,'SUPPORT PLAN'!$AA74),0)</f>
        <v/>
      </c>
      <c r="E74" s="18">
        <f>SUMIFS('EXPENDITURE LOG'!$D$5:$D$504,'EXPENDITURE LOG'!$J$5:$J$504,$A74,'EXPENDITURE LOG'!$A$5:$A$504,"&gt;="&amp;$C$4,'EXPENDITURE LOG'!$A$5:$A$504,"&lt;"&amp;EDATE($C$4,1))</f>
        <v/>
      </c>
      <c r="F74" s="18">
        <f>SUMIFS('EXPENDITURE LOG'!$D$5:$D$504,'EXPENDITURE LOG'!$J$5:$J$504,$A74,'EXPENDITURE LOG'!$A$5:$A$504,"&gt;="&amp;$C$4,'EXPENDITURE LOG'!$A$5:$A$504,"&lt;"&amp;EDATE($C$4,1),'EXPENDITURE LOG'!$F$5:$F$504,"Church*")</f>
        <v/>
      </c>
      <c r="G74" s="18">
        <f>E74-C74</f>
        <v/>
      </c>
      <c r="H74" s="18">
        <f>SUMIFS('EXPENDITURE LOG'!$D$5:$D$504,'EXPENDITURE LOG'!$J$5:$J$504,$A74,'EXPENDITURE LOG'!$A$5:$A$504,"&gt;="&amp;'SUPPORT PLAN'!$C$4,'EXPENDITURE LOG'!$A$5:$A$504,"&lt;"&amp;EDATE($C$4,1))</f>
        <v/>
      </c>
      <c r="I74" s="18">
        <f>C74*MAX(0,$F$4)</f>
        <v/>
      </c>
      <c r="J74" s="18">
        <f>H74-I74</f>
        <v/>
      </c>
      <c r="K74" s="15">
        <f>SUMIFS('EXPENDITURE LOG'!$D$5:$D$504,'EXPENDITURE LOG'!$J$5:$J$504,$A74)</f>
        <v/>
      </c>
    </row>
    <row r="75">
      <c r="A75" s="35">
        <f>EXPENSES!L73</f>
        <v/>
      </c>
      <c r="B75" s="36">
        <f>EXPENSES!B73</f>
        <v/>
      </c>
      <c r="C75" s="31">
        <f>EXPENSES!E73</f>
        <v/>
      </c>
      <c r="D75" s="31">
        <f>IF(AND($F$4&gt;=1,$F$4&lt;=3),CHOOSE($F$4,'SUPPORT PLAN'!$M75,'SUPPORT PLAN'!$T75,'SUPPORT PLAN'!$AA75),0)</f>
        <v/>
      </c>
      <c r="E75" s="18">
        <f>SUMIFS('EXPENDITURE LOG'!$D$5:$D$504,'EXPENDITURE LOG'!$J$5:$J$504,$A75,'EXPENDITURE LOG'!$A$5:$A$504,"&gt;="&amp;$C$4,'EXPENDITURE LOG'!$A$5:$A$504,"&lt;"&amp;EDATE($C$4,1))</f>
        <v/>
      </c>
      <c r="F75" s="18">
        <f>SUMIFS('EXPENDITURE LOG'!$D$5:$D$504,'EXPENDITURE LOG'!$J$5:$J$504,$A75,'EXPENDITURE LOG'!$A$5:$A$504,"&gt;="&amp;$C$4,'EXPENDITURE LOG'!$A$5:$A$504,"&lt;"&amp;EDATE($C$4,1),'EXPENDITURE LOG'!$F$5:$F$504,"Church*")</f>
        <v/>
      </c>
      <c r="G75" s="18">
        <f>E75-C75</f>
        <v/>
      </c>
      <c r="H75" s="18">
        <f>SUMIFS('EXPENDITURE LOG'!$D$5:$D$504,'EXPENDITURE LOG'!$J$5:$J$504,$A75,'EXPENDITURE LOG'!$A$5:$A$504,"&gt;="&amp;'SUPPORT PLAN'!$C$4,'EXPENDITURE LOG'!$A$5:$A$504,"&lt;"&amp;EDATE($C$4,1))</f>
        <v/>
      </c>
      <c r="I75" s="18">
        <f>C75*MAX(0,$F$4)</f>
        <v/>
      </c>
      <c r="J75" s="18">
        <f>H75-I75</f>
        <v/>
      </c>
      <c r="K75" s="15">
        <f>SUMIFS('EXPENDITURE LOG'!$D$5:$D$504,'EXPENDITURE LOG'!$J$5:$J$504,$A75)</f>
        <v/>
      </c>
    </row>
    <row r="76">
      <c r="A76" s="35">
        <f>EXPENSES!L74</f>
        <v/>
      </c>
      <c r="B76" s="36">
        <f>EXPENSES!B74</f>
        <v/>
      </c>
      <c r="C76" s="31">
        <f>EXPENSES!E74</f>
        <v/>
      </c>
      <c r="D76" s="31">
        <f>IF(AND($F$4&gt;=1,$F$4&lt;=3),CHOOSE($F$4,'SUPPORT PLAN'!$M76,'SUPPORT PLAN'!$T76,'SUPPORT PLAN'!$AA76),0)</f>
        <v/>
      </c>
      <c r="E76" s="18">
        <f>SUMIFS('EXPENDITURE LOG'!$D$5:$D$504,'EXPENDITURE LOG'!$J$5:$J$504,$A76,'EXPENDITURE LOG'!$A$5:$A$504,"&gt;="&amp;$C$4,'EXPENDITURE LOG'!$A$5:$A$504,"&lt;"&amp;EDATE($C$4,1))</f>
        <v/>
      </c>
      <c r="F76" s="18">
        <f>SUMIFS('EXPENDITURE LOG'!$D$5:$D$504,'EXPENDITURE LOG'!$J$5:$J$504,$A76,'EXPENDITURE LOG'!$A$5:$A$504,"&gt;="&amp;$C$4,'EXPENDITURE LOG'!$A$5:$A$504,"&lt;"&amp;EDATE($C$4,1),'EXPENDITURE LOG'!$F$5:$F$504,"Church*")</f>
        <v/>
      </c>
      <c r="G76" s="18">
        <f>E76-C76</f>
        <v/>
      </c>
      <c r="H76" s="18">
        <f>SUMIFS('EXPENDITURE LOG'!$D$5:$D$504,'EXPENDITURE LOG'!$J$5:$J$504,$A76,'EXPENDITURE LOG'!$A$5:$A$504,"&gt;="&amp;'SUPPORT PLAN'!$C$4,'EXPENDITURE LOG'!$A$5:$A$504,"&lt;"&amp;EDATE($C$4,1))</f>
        <v/>
      </c>
      <c r="I76" s="18">
        <f>C76*MAX(0,$F$4)</f>
        <v/>
      </c>
      <c r="J76" s="18">
        <f>H76-I76</f>
        <v/>
      </c>
      <c r="K76" s="15">
        <f>SUMIFS('EXPENDITURE LOG'!$D$5:$D$504,'EXPENDITURE LOG'!$J$5:$J$504,$A76)</f>
        <v/>
      </c>
    </row>
    <row r="77">
      <c r="A77" s="35">
        <f>EXPENSES!L75</f>
        <v/>
      </c>
      <c r="B77" s="36">
        <f>EXPENSES!B75</f>
        <v/>
      </c>
      <c r="C77" s="31">
        <f>EXPENSES!E75</f>
        <v/>
      </c>
      <c r="D77" s="31">
        <f>IF(AND($F$4&gt;=1,$F$4&lt;=3),CHOOSE($F$4,'SUPPORT PLAN'!$M77,'SUPPORT PLAN'!$T77,'SUPPORT PLAN'!$AA77),0)</f>
        <v/>
      </c>
      <c r="E77" s="18">
        <f>SUMIFS('EXPENDITURE LOG'!$D$5:$D$504,'EXPENDITURE LOG'!$J$5:$J$504,$A77,'EXPENDITURE LOG'!$A$5:$A$504,"&gt;="&amp;$C$4,'EXPENDITURE LOG'!$A$5:$A$504,"&lt;"&amp;EDATE($C$4,1))</f>
        <v/>
      </c>
      <c r="F77" s="18">
        <f>SUMIFS('EXPENDITURE LOG'!$D$5:$D$504,'EXPENDITURE LOG'!$J$5:$J$504,$A77,'EXPENDITURE LOG'!$A$5:$A$504,"&gt;="&amp;$C$4,'EXPENDITURE LOG'!$A$5:$A$504,"&lt;"&amp;EDATE($C$4,1),'EXPENDITURE LOG'!$F$5:$F$504,"Church*")</f>
        <v/>
      </c>
      <c r="G77" s="18">
        <f>E77-C77</f>
        <v/>
      </c>
      <c r="H77" s="18">
        <f>SUMIFS('EXPENDITURE LOG'!$D$5:$D$504,'EXPENDITURE LOG'!$J$5:$J$504,$A77,'EXPENDITURE LOG'!$A$5:$A$504,"&gt;="&amp;'SUPPORT PLAN'!$C$4,'EXPENDITURE LOG'!$A$5:$A$504,"&lt;"&amp;EDATE($C$4,1))</f>
        <v/>
      </c>
      <c r="I77" s="18">
        <f>C77*MAX(0,$F$4)</f>
        <v/>
      </c>
      <c r="J77" s="18">
        <f>H77-I77</f>
        <v/>
      </c>
      <c r="K77" s="15">
        <f>SUMIFS('EXPENDITURE LOG'!$D$5:$D$504,'EXPENDITURE LOG'!$J$5:$J$504,$A77)</f>
        <v/>
      </c>
    </row>
    <row r="78">
      <c r="A78" s="35">
        <f>EXPENSES!L76</f>
        <v/>
      </c>
      <c r="B78" s="36">
        <f>EXPENSES!B76</f>
        <v/>
      </c>
      <c r="C78" s="31">
        <f>EXPENSES!E76</f>
        <v/>
      </c>
      <c r="D78" s="31">
        <f>IF(AND($F$4&gt;=1,$F$4&lt;=3),CHOOSE($F$4,'SUPPORT PLAN'!$M78,'SUPPORT PLAN'!$T78,'SUPPORT PLAN'!$AA78),0)</f>
        <v/>
      </c>
      <c r="E78" s="18">
        <f>SUMIFS('EXPENDITURE LOG'!$D$5:$D$504,'EXPENDITURE LOG'!$J$5:$J$504,$A78,'EXPENDITURE LOG'!$A$5:$A$504,"&gt;="&amp;$C$4,'EXPENDITURE LOG'!$A$5:$A$504,"&lt;"&amp;EDATE($C$4,1))</f>
        <v/>
      </c>
      <c r="F78" s="18">
        <f>SUMIFS('EXPENDITURE LOG'!$D$5:$D$504,'EXPENDITURE LOG'!$J$5:$J$504,$A78,'EXPENDITURE LOG'!$A$5:$A$504,"&gt;="&amp;$C$4,'EXPENDITURE LOG'!$A$5:$A$504,"&lt;"&amp;EDATE($C$4,1),'EXPENDITURE LOG'!$F$5:$F$504,"Church*")</f>
        <v/>
      </c>
      <c r="G78" s="18">
        <f>E78-C78</f>
        <v/>
      </c>
      <c r="H78" s="18">
        <f>SUMIFS('EXPENDITURE LOG'!$D$5:$D$504,'EXPENDITURE LOG'!$J$5:$J$504,$A78,'EXPENDITURE LOG'!$A$5:$A$504,"&gt;="&amp;'SUPPORT PLAN'!$C$4,'EXPENDITURE LOG'!$A$5:$A$504,"&lt;"&amp;EDATE($C$4,1))</f>
        <v/>
      </c>
      <c r="I78" s="18">
        <f>C78*MAX(0,$F$4)</f>
        <v/>
      </c>
      <c r="J78" s="18">
        <f>H78-I78</f>
        <v/>
      </c>
      <c r="K78" s="15">
        <f>SUMIFS('EXPENDITURE LOG'!$D$5:$D$504,'EXPENDITURE LOG'!$J$5:$J$504,$A78)</f>
        <v/>
      </c>
    </row>
    <row r="79">
      <c r="A79" s="35">
        <f>EXPENSES!L77</f>
        <v/>
      </c>
      <c r="B79" s="36">
        <f>EXPENSES!B77</f>
        <v/>
      </c>
      <c r="C79" s="31">
        <f>EXPENSES!E77</f>
        <v/>
      </c>
      <c r="D79" s="31">
        <f>IF(AND($F$4&gt;=1,$F$4&lt;=3),CHOOSE($F$4,'SUPPORT PLAN'!$M79,'SUPPORT PLAN'!$T79,'SUPPORT PLAN'!$AA79),0)</f>
        <v/>
      </c>
      <c r="E79" s="18">
        <f>SUMIFS('EXPENDITURE LOG'!$D$5:$D$504,'EXPENDITURE LOG'!$J$5:$J$504,$A79,'EXPENDITURE LOG'!$A$5:$A$504,"&gt;="&amp;$C$4,'EXPENDITURE LOG'!$A$5:$A$504,"&lt;"&amp;EDATE($C$4,1))</f>
        <v/>
      </c>
      <c r="F79" s="18">
        <f>SUMIFS('EXPENDITURE LOG'!$D$5:$D$504,'EXPENDITURE LOG'!$J$5:$J$504,$A79,'EXPENDITURE LOG'!$A$5:$A$504,"&gt;="&amp;$C$4,'EXPENDITURE LOG'!$A$5:$A$504,"&lt;"&amp;EDATE($C$4,1),'EXPENDITURE LOG'!$F$5:$F$504,"Church*")</f>
        <v/>
      </c>
      <c r="G79" s="18">
        <f>E79-C79</f>
        <v/>
      </c>
      <c r="H79" s="18">
        <f>SUMIFS('EXPENDITURE LOG'!$D$5:$D$504,'EXPENDITURE LOG'!$J$5:$J$504,$A79,'EXPENDITURE LOG'!$A$5:$A$504,"&gt;="&amp;'SUPPORT PLAN'!$C$4,'EXPENDITURE LOG'!$A$5:$A$504,"&lt;"&amp;EDATE($C$4,1))</f>
        <v/>
      </c>
      <c r="I79" s="18">
        <f>C79*MAX(0,$F$4)</f>
        <v/>
      </c>
      <c r="J79" s="18">
        <f>H79-I79</f>
        <v/>
      </c>
      <c r="K79" s="15">
        <f>SUMIFS('EXPENDITURE LOG'!$D$5:$D$504,'EXPENDITURE LOG'!$J$5:$J$504,$A79)</f>
        <v/>
      </c>
    </row>
    <row r="80">
      <c r="A80" s="35">
        <f>EXPENSES!L78</f>
        <v/>
      </c>
      <c r="B80" s="36">
        <f>EXPENSES!B78</f>
        <v/>
      </c>
      <c r="C80" s="31">
        <f>EXPENSES!E78</f>
        <v/>
      </c>
      <c r="D80" s="31">
        <f>IF(AND($F$4&gt;=1,$F$4&lt;=3),CHOOSE($F$4,'SUPPORT PLAN'!$M80,'SUPPORT PLAN'!$T80,'SUPPORT PLAN'!$AA80),0)</f>
        <v/>
      </c>
      <c r="E80" s="18">
        <f>SUMIFS('EXPENDITURE LOG'!$D$5:$D$504,'EXPENDITURE LOG'!$J$5:$J$504,$A80,'EXPENDITURE LOG'!$A$5:$A$504,"&gt;="&amp;$C$4,'EXPENDITURE LOG'!$A$5:$A$504,"&lt;"&amp;EDATE($C$4,1))</f>
        <v/>
      </c>
      <c r="F80" s="18">
        <f>SUMIFS('EXPENDITURE LOG'!$D$5:$D$504,'EXPENDITURE LOG'!$J$5:$J$504,$A80,'EXPENDITURE LOG'!$A$5:$A$504,"&gt;="&amp;$C$4,'EXPENDITURE LOG'!$A$5:$A$504,"&lt;"&amp;EDATE($C$4,1),'EXPENDITURE LOG'!$F$5:$F$504,"Church*")</f>
        <v/>
      </c>
      <c r="G80" s="18">
        <f>E80-C80</f>
        <v/>
      </c>
      <c r="H80" s="18">
        <f>SUMIFS('EXPENDITURE LOG'!$D$5:$D$504,'EXPENDITURE LOG'!$J$5:$J$504,$A80,'EXPENDITURE LOG'!$A$5:$A$504,"&gt;="&amp;'SUPPORT PLAN'!$C$4,'EXPENDITURE LOG'!$A$5:$A$504,"&lt;"&amp;EDATE($C$4,1))</f>
        <v/>
      </c>
      <c r="I80" s="18">
        <f>C80*MAX(0,$F$4)</f>
        <v/>
      </c>
      <c r="J80" s="18">
        <f>H80-I80</f>
        <v/>
      </c>
      <c r="K80" s="15">
        <f>SUMIFS('EXPENDITURE LOG'!$D$5:$D$504,'EXPENDITURE LOG'!$J$5:$J$504,$A80)</f>
        <v/>
      </c>
    </row>
    <row r="81">
      <c r="A81" s="23" t="n"/>
      <c r="B81" s="113" t="inlineStr">
        <is>
          <t>EDUCATION</t>
        </is>
      </c>
      <c r="C81" s="24">
        <f>SUM(C82:C87)</f>
        <v/>
      </c>
      <c r="D81" s="24">
        <f>SUM(D82:D87)</f>
        <v/>
      </c>
      <c r="E81" s="24">
        <f>SUM(E82:E87)</f>
        <v/>
      </c>
      <c r="F81" s="24">
        <f>SUM(F82:F87)</f>
        <v/>
      </c>
      <c r="G81" s="24">
        <f>SUM(G82:G87)</f>
        <v/>
      </c>
      <c r="H81" s="24">
        <f>SUM(H82:H87)</f>
        <v/>
      </c>
      <c r="I81" s="24">
        <f>SUM(I82:I87)</f>
        <v/>
      </c>
      <c r="J81" s="24">
        <f>SUM(J82:J87)</f>
        <v/>
      </c>
      <c r="K81" s="24">
        <f>SUM(K82:K87)</f>
        <v/>
      </c>
    </row>
    <row r="82">
      <c r="A82" s="35">
        <f>EXPENSES!L80</f>
        <v/>
      </c>
      <c r="B82" s="36">
        <f>EXPENSES!B80</f>
        <v/>
      </c>
      <c r="C82" s="31">
        <f>EXPENSES!E80</f>
        <v/>
      </c>
      <c r="D82" s="31">
        <f>IF(AND($F$4&gt;=1,$F$4&lt;=3),CHOOSE($F$4,'SUPPORT PLAN'!$M82,'SUPPORT PLAN'!$T82,'SUPPORT PLAN'!$AA82),0)</f>
        <v/>
      </c>
      <c r="E82" s="18">
        <f>SUMIFS('EXPENDITURE LOG'!$D$5:$D$504,'EXPENDITURE LOG'!$J$5:$J$504,$A82,'EXPENDITURE LOG'!$A$5:$A$504,"&gt;="&amp;$C$4,'EXPENDITURE LOG'!$A$5:$A$504,"&lt;"&amp;EDATE($C$4,1))</f>
        <v/>
      </c>
      <c r="F82" s="18">
        <f>SUMIFS('EXPENDITURE LOG'!$D$5:$D$504,'EXPENDITURE LOG'!$J$5:$J$504,$A82,'EXPENDITURE LOG'!$A$5:$A$504,"&gt;="&amp;$C$4,'EXPENDITURE LOG'!$A$5:$A$504,"&lt;"&amp;EDATE($C$4,1),'EXPENDITURE LOG'!$F$5:$F$504,"Church*")</f>
        <v/>
      </c>
      <c r="G82" s="18">
        <f>E82-C82</f>
        <v/>
      </c>
      <c r="H82" s="18">
        <f>SUMIFS('EXPENDITURE LOG'!$D$5:$D$504,'EXPENDITURE LOG'!$J$5:$J$504,$A82,'EXPENDITURE LOG'!$A$5:$A$504,"&gt;="&amp;'SUPPORT PLAN'!$C$4,'EXPENDITURE LOG'!$A$5:$A$504,"&lt;"&amp;EDATE($C$4,1))</f>
        <v/>
      </c>
      <c r="I82" s="18">
        <f>C82*MAX(0,$F$4)</f>
        <v/>
      </c>
      <c r="J82" s="18">
        <f>H82-I82</f>
        <v/>
      </c>
      <c r="K82" s="15">
        <f>SUMIFS('EXPENDITURE LOG'!$D$5:$D$504,'EXPENDITURE LOG'!$J$5:$J$504,$A82)</f>
        <v/>
      </c>
    </row>
    <row r="83">
      <c r="A83" s="35">
        <f>EXPENSES!L81</f>
        <v/>
      </c>
      <c r="B83" s="36">
        <f>EXPENSES!B81</f>
        <v/>
      </c>
      <c r="C83" s="31">
        <f>EXPENSES!E81</f>
        <v/>
      </c>
      <c r="D83" s="31">
        <f>IF(AND($F$4&gt;=1,$F$4&lt;=3),CHOOSE($F$4,'SUPPORT PLAN'!$M83,'SUPPORT PLAN'!$T83,'SUPPORT PLAN'!$AA83),0)</f>
        <v/>
      </c>
      <c r="E83" s="18">
        <f>SUMIFS('EXPENDITURE LOG'!$D$5:$D$504,'EXPENDITURE LOG'!$J$5:$J$504,$A83,'EXPENDITURE LOG'!$A$5:$A$504,"&gt;="&amp;$C$4,'EXPENDITURE LOG'!$A$5:$A$504,"&lt;"&amp;EDATE($C$4,1))</f>
        <v/>
      </c>
      <c r="F83" s="18">
        <f>SUMIFS('EXPENDITURE LOG'!$D$5:$D$504,'EXPENDITURE LOG'!$J$5:$J$504,$A83,'EXPENDITURE LOG'!$A$5:$A$504,"&gt;="&amp;$C$4,'EXPENDITURE LOG'!$A$5:$A$504,"&lt;"&amp;EDATE($C$4,1),'EXPENDITURE LOG'!$F$5:$F$504,"Church*")</f>
        <v/>
      </c>
      <c r="G83" s="18">
        <f>E83-C83</f>
        <v/>
      </c>
      <c r="H83" s="18">
        <f>SUMIFS('EXPENDITURE LOG'!$D$5:$D$504,'EXPENDITURE LOG'!$J$5:$J$504,$A83,'EXPENDITURE LOG'!$A$5:$A$504,"&gt;="&amp;'SUPPORT PLAN'!$C$4,'EXPENDITURE LOG'!$A$5:$A$504,"&lt;"&amp;EDATE($C$4,1))</f>
        <v/>
      </c>
      <c r="I83" s="18">
        <f>C83*MAX(0,$F$4)</f>
        <v/>
      </c>
      <c r="J83" s="18">
        <f>H83-I83</f>
        <v/>
      </c>
      <c r="K83" s="15">
        <f>SUMIFS('EXPENDITURE LOG'!$D$5:$D$504,'EXPENDITURE LOG'!$J$5:$J$504,$A83)</f>
        <v/>
      </c>
    </row>
    <row r="84">
      <c r="A84" s="35">
        <f>EXPENSES!L82</f>
        <v/>
      </c>
      <c r="B84" s="36">
        <f>EXPENSES!B82</f>
        <v/>
      </c>
      <c r="C84" s="31">
        <f>EXPENSES!E82</f>
        <v/>
      </c>
      <c r="D84" s="31">
        <f>IF(AND($F$4&gt;=1,$F$4&lt;=3),CHOOSE($F$4,'SUPPORT PLAN'!$M84,'SUPPORT PLAN'!$T84,'SUPPORT PLAN'!$AA84),0)</f>
        <v/>
      </c>
      <c r="E84" s="18">
        <f>SUMIFS('EXPENDITURE LOG'!$D$5:$D$504,'EXPENDITURE LOG'!$J$5:$J$504,$A84,'EXPENDITURE LOG'!$A$5:$A$504,"&gt;="&amp;$C$4,'EXPENDITURE LOG'!$A$5:$A$504,"&lt;"&amp;EDATE($C$4,1))</f>
        <v/>
      </c>
      <c r="F84" s="18">
        <f>SUMIFS('EXPENDITURE LOG'!$D$5:$D$504,'EXPENDITURE LOG'!$J$5:$J$504,$A84,'EXPENDITURE LOG'!$A$5:$A$504,"&gt;="&amp;$C$4,'EXPENDITURE LOG'!$A$5:$A$504,"&lt;"&amp;EDATE($C$4,1),'EXPENDITURE LOG'!$F$5:$F$504,"Church*")</f>
        <v/>
      </c>
      <c r="G84" s="18">
        <f>E84-C84</f>
        <v/>
      </c>
      <c r="H84" s="18">
        <f>SUMIFS('EXPENDITURE LOG'!$D$5:$D$504,'EXPENDITURE LOG'!$J$5:$J$504,$A84,'EXPENDITURE LOG'!$A$5:$A$504,"&gt;="&amp;'SUPPORT PLAN'!$C$4,'EXPENDITURE LOG'!$A$5:$A$504,"&lt;"&amp;EDATE($C$4,1))</f>
        <v/>
      </c>
      <c r="I84" s="18">
        <f>C84*MAX(0,$F$4)</f>
        <v/>
      </c>
      <c r="J84" s="18">
        <f>H84-I84</f>
        <v/>
      </c>
      <c r="K84" s="15">
        <f>SUMIFS('EXPENDITURE LOG'!$D$5:$D$504,'EXPENDITURE LOG'!$J$5:$J$504,$A84)</f>
        <v/>
      </c>
    </row>
    <row r="85">
      <c r="A85" s="35">
        <f>EXPENSES!L83</f>
        <v/>
      </c>
      <c r="B85" s="36">
        <f>EXPENSES!B83</f>
        <v/>
      </c>
      <c r="C85" s="31">
        <f>EXPENSES!E83</f>
        <v/>
      </c>
      <c r="D85" s="31">
        <f>IF(AND($F$4&gt;=1,$F$4&lt;=3),CHOOSE($F$4,'SUPPORT PLAN'!$M85,'SUPPORT PLAN'!$T85,'SUPPORT PLAN'!$AA85),0)</f>
        <v/>
      </c>
      <c r="E85" s="18">
        <f>SUMIFS('EXPENDITURE LOG'!$D$5:$D$504,'EXPENDITURE LOG'!$J$5:$J$504,$A85,'EXPENDITURE LOG'!$A$5:$A$504,"&gt;="&amp;$C$4,'EXPENDITURE LOG'!$A$5:$A$504,"&lt;"&amp;EDATE($C$4,1))</f>
        <v/>
      </c>
      <c r="F85" s="18">
        <f>SUMIFS('EXPENDITURE LOG'!$D$5:$D$504,'EXPENDITURE LOG'!$J$5:$J$504,$A85,'EXPENDITURE LOG'!$A$5:$A$504,"&gt;="&amp;$C$4,'EXPENDITURE LOG'!$A$5:$A$504,"&lt;"&amp;EDATE($C$4,1),'EXPENDITURE LOG'!$F$5:$F$504,"Church*")</f>
        <v/>
      </c>
      <c r="G85" s="18">
        <f>E85-C85</f>
        <v/>
      </c>
      <c r="H85" s="18">
        <f>SUMIFS('EXPENDITURE LOG'!$D$5:$D$504,'EXPENDITURE LOG'!$J$5:$J$504,$A85,'EXPENDITURE LOG'!$A$5:$A$504,"&gt;="&amp;'SUPPORT PLAN'!$C$4,'EXPENDITURE LOG'!$A$5:$A$504,"&lt;"&amp;EDATE($C$4,1))</f>
        <v/>
      </c>
      <c r="I85" s="18">
        <f>C85*MAX(0,$F$4)</f>
        <v/>
      </c>
      <c r="J85" s="18">
        <f>H85-I85</f>
        <v/>
      </c>
      <c r="K85" s="15">
        <f>SUMIFS('EXPENDITURE LOG'!$D$5:$D$504,'EXPENDITURE LOG'!$J$5:$J$504,$A85)</f>
        <v/>
      </c>
    </row>
    <row r="86">
      <c r="A86" s="35">
        <f>EXPENSES!L84</f>
        <v/>
      </c>
      <c r="B86" s="36">
        <f>EXPENSES!B84</f>
        <v/>
      </c>
      <c r="C86" s="31">
        <f>EXPENSES!E84</f>
        <v/>
      </c>
      <c r="D86" s="31">
        <f>IF(AND($F$4&gt;=1,$F$4&lt;=3),CHOOSE($F$4,'SUPPORT PLAN'!$M86,'SUPPORT PLAN'!$T86,'SUPPORT PLAN'!$AA86),0)</f>
        <v/>
      </c>
      <c r="E86" s="18">
        <f>SUMIFS('EXPENDITURE LOG'!$D$5:$D$504,'EXPENDITURE LOG'!$J$5:$J$504,$A86,'EXPENDITURE LOG'!$A$5:$A$504,"&gt;="&amp;$C$4,'EXPENDITURE LOG'!$A$5:$A$504,"&lt;"&amp;EDATE($C$4,1))</f>
        <v/>
      </c>
      <c r="F86" s="18">
        <f>SUMIFS('EXPENDITURE LOG'!$D$5:$D$504,'EXPENDITURE LOG'!$J$5:$J$504,$A86,'EXPENDITURE LOG'!$A$5:$A$504,"&gt;="&amp;$C$4,'EXPENDITURE LOG'!$A$5:$A$504,"&lt;"&amp;EDATE($C$4,1),'EXPENDITURE LOG'!$F$5:$F$504,"Church*")</f>
        <v/>
      </c>
      <c r="G86" s="18">
        <f>E86-C86</f>
        <v/>
      </c>
      <c r="H86" s="18">
        <f>SUMIFS('EXPENDITURE LOG'!$D$5:$D$504,'EXPENDITURE LOG'!$J$5:$J$504,$A86,'EXPENDITURE LOG'!$A$5:$A$504,"&gt;="&amp;'SUPPORT PLAN'!$C$4,'EXPENDITURE LOG'!$A$5:$A$504,"&lt;"&amp;EDATE($C$4,1))</f>
        <v/>
      </c>
      <c r="I86" s="18">
        <f>C86*MAX(0,$F$4)</f>
        <v/>
      </c>
      <c r="J86" s="18">
        <f>H86-I86</f>
        <v/>
      </c>
      <c r="K86" s="15">
        <f>SUMIFS('EXPENDITURE LOG'!$D$5:$D$504,'EXPENDITURE LOG'!$J$5:$J$504,$A86)</f>
        <v/>
      </c>
    </row>
    <row r="87">
      <c r="A87" s="35">
        <f>EXPENSES!L85</f>
        <v/>
      </c>
      <c r="B87" s="36">
        <f>EXPENSES!B85</f>
        <v/>
      </c>
      <c r="C87" s="31">
        <f>EXPENSES!E85</f>
        <v/>
      </c>
      <c r="D87" s="31">
        <f>IF(AND($F$4&gt;=1,$F$4&lt;=3),CHOOSE($F$4,'SUPPORT PLAN'!$M87,'SUPPORT PLAN'!$T87,'SUPPORT PLAN'!$AA87),0)</f>
        <v/>
      </c>
      <c r="E87" s="18">
        <f>SUMIFS('EXPENDITURE LOG'!$D$5:$D$504,'EXPENDITURE LOG'!$J$5:$J$504,$A87,'EXPENDITURE LOG'!$A$5:$A$504,"&gt;="&amp;$C$4,'EXPENDITURE LOG'!$A$5:$A$504,"&lt;"&amp;EDATE($C$4,1))</f>
        <v/>
      </c>
      <c r="F87" s="18">
        <f>SUMIFS('EXPENDITURE LOG'!$D$5:$D$504,'EXPENDITURE LOG'!$J$5:$J$504,$A87,'EXPENDITURE LOG'!$A$5:$A$504,"&gt;="&amp;$C$4,'EXPENDITURE LOG'!$A$5:$A$504,"&lt;"&amp;EDATE($C$4,1),'EXPENDITURE LOG'!$F$5:$F$504,"Church*")</f>
        <v/>
      </c>
      <c r="G87" s="18">
        <f>E87-C87</f>
        <v/>
      </c>
      <c r="H87" s="18">
        <f>SUMIFS('EXPENDITURE LOG'!$D$5:$D$504,'EXPENDITURE LOG'!$J$5:$J$504,$A87,'EXPENDITURE LOG'!$A$5:$A$504,"&gt;="&amp;'SUPPORT PLAN'!$C$4,'EXPENDITURE LOG'!$A$5:$A$504,"&lt;"&amp;EDATE($C$4,1))</f>
        <v/>
      </c>
      <c r="I87" s="18">
        <f>C87*MAX(0,$F$4)</f>
        <v/>
      </c>
      <c r="J87" s="18">
        <f>H87-I87</f>
        <v/>
      </c>
      <c r="K87" s="15">
        <f>SUMIFS('EXPENDITURE LOG'!$D$5:$D$504,'EXPENDITURE LOG'!$J$5:$J$504,$A87)</f>
        <v/>
      </c>
    </row>
    <row r="88">
      <c r="A88" s="23" t="n"/>
      <c r="B88" s="113" t="inlineStr">
        <is>
          <t>DEBT PAYMENTS</t>
        </is>
      </c>
      <c r="C88" s="24">
        <f>SUM(C89:C89)</f>
        <v/>
      </c>
      <c r="D88" s="24">
        <f>SUM(D89:D89)</f>
        <v/>
      </c>
      <c r="E88" s="24">
        <f>SUM(E89:E89)</f>
        <v/>
      </c>
      <c r="F88" s="24">
        <f>SUM(F89:F89)</f>
        <v/>
      </c>
      <c r="G88" s="24">
        <f>SUM(G89:G89)</f>
        <v/>
      </c>
      <c r="H88" s="24">
        <f>SUM(H89:H89)</f>
        <v/>
      </c>
      <c r="I88" s="24">
        <f>SUM(I89:I89)</f>
        <v/>
      </c>
      <c r="J88" s="24">
        <f>SUM(J89:J89)</f>
        <v/>
      </c>
      <c r="K88" s="24">
        <f>SUM(K89:K89)</f>
        <v/>
      </c>
    </row>
    <row r="89">
      <c r="A89" s="35">
        <f>EXPENSES!L87</f>
        <v/>
      </c>
      <c r="B89" s="36">
        <f>EXPENSES!B87</f>
        <v/>
      </c>
      <c r="C89" s="31">
        <f>EXPENSES!E87</f>
        <v/>
      </c>
      <c r="D89" s="31">
        <f>IF(AND($F$4&gt;=1,$F$4&lt;=3),CHOOSE($F$4,'SUPPORT PLAN'!$M89,'SUPPORT PLAN'!$T89,'SUPPORT PLAN'!$AA89),0)</f>
        <v/>
      </c>
      <c r="E89" s="18">
        <f>SUMIFS('EXPENDITURE LOG'!$D$5:$D$504,'EXPENDITURE LOG'!$J$5:$J$504,$A89,'EXPENDITURE LOG'!$A$5:$A$504,"&gt;="&amp;$C$4,'EXPENDITURE LOG'!$A$5:$A$504,"&lt;"&amp;EDATE($C$4,1))</f>
        <v/>
      </c>
      <c r="F89" s="18">
        <f>SUMIFS('EXPENDITURE LOG'!$D$5:$D$504,'EXPENDITURE LOG'!$J$5:$J$504,$A89,'EXPENDITURE LOG'!$A$5:$A$504,"&gt;="&amp;$C$4,'EXPENDITURE LOG'!$A$5:$A$504,"&lt;"&amp;EDATE($C$4,1),'EXPENDITURE LOG'!$F$5:$F$504,"Church*")</f>
        <v/>
      </c>
      <c r="G89" s="18">
        <f>E89-C89</f>
        <v/>
      </c>
      <c r="H89" s="18">
        <f>SUMIFS('EXPENDITURE LOG'!$D$5:$D$504,'EXPENDITURE LOG'!$J$5:$J$504,$A89,'EXPENDITURE LOG'!$A$5:$A$504,"&gt;="&amp;'SUPPORT PLAN'!$C$4,'EXPENDITURE LOG'!$A$5:$A$504,"&lt;"&amp;EDATE($C$4,1))</f>
        <v/>
      </c>
      <c r="I89" s="18">
        <f>C89*MAX(0,$F$4)</f>
        <v/>
      </c>
      <c r="J89" s="18">
        <f>H89-I89</f>
        <v/>
      </c>
      <c r="K89" s="15">
        <f>SUMIFS('EXPENDITURE LOG'!$D$5:$D$504,'EXPENDITURE LOG'!$J$5:$J$504,$A89)</f>
        <v/>
      </c>
    </row>
    <row r="90">
      <c r="A90" s="23" t="n"/>
      <c r="B90" s="113" t="inlineStr">
        <is>
          <t>LEGAL &amp; GOVERNMENT</t>
        </is>
      </c>
      <c r="C90" s="24">
        <f>SUM(C91:C95)</f>
        <v/>
      </c>
      <c r="D90" s="24">
        <f>SUM(D91:D95)</f>
        <v/>
      </c>
      <c r="E90" s="24">
        <f>SUM(E91:E95)</f>
        <v/>
      </c>
      <c r="F90" s="24">
        <f>SUM(F91:F95)</f>
        <v/>
      </c>
      <c r="G90" s="24">
        <f>SUM(G91:G95)</f>
        <v/>
      </c>
      <c r="H90" s="24">
        <f>SUM(H91:H95)</f>
        <v/>
      </c>
      <c r="I90" s="24">
        <f>SUM(I91:I95)</f>
        <v/>
      </c>
      <c r="J90" s="24">
        <f>SUM(J91:J95)</f>
        <v/>
      </c>
      <c r="K90" s="24">
        <f>SUM(K91:K95)</f>
        <v/>
      </c>
    </row>
    <row r="91">
      <c r="A91" s="35">
        <f>EXPENSES!L89</f>
        <v/>
      </c>
      <c r="B91" s="36">
        <f>EXPENSES!B89</f>
        <v/>
      </c>
      <c r="C91" s="31">
        <f>EXPENSES!E89</f>
        <v/>
      </c>
      <c r="D91" s="31">
        <f>IF(AND($F$4&gt;=1,$F$4&lt;=3),CHOOSE($F$4,'SUPPORT PLAN'!$M91,'SUPPORT PLAN'!$T91,'SUPPORT PLAN'!$AA91),0)</f>
        <v/>
      </c>
      <c r="E91" s="18">
        <f>SUMIFS('EXPENDITURE LOG'!$D$5:$D$504,'EXPENDITURE LOG'!$J$5:$J$504,$A91,'EXPENDITURE LOG'!$A$5:$A$504,"&gt;="&amp;$C$4,'EXPENDITURE LOG'!$A$5:$A$504,"&lt;"&amp;EDATE($C$4,1))</f>
        <v/>
      </c>
      <c r="F91" s="18">
        <f>SUMIFS('EXPENDITURE LOG'!$D$5:$D$504,'EXPENDITURE LOG'!$J$5:$J$504,$A91,'EXPENDITURE LOG'!$A$5:$A$504,"&gt;="&amp;$C$4,'EXPENDITURE LOG'!$A$5:$A$504,"&lt;"&amp;EDATE($C$4,1),'EXPENDITURE LOG'!$F$5:$F$504,"Church*")</f>
        <v/>
      </c>
      <c r="G91" s="18">
        <f>E91-C91</f>
        <v/>
      </c>
      <c r="H91" s="18">
        <f>SUMIFS('EXPENDITURE LOG'!$D$5:$D$504,'EXPENDITURE LOG'!$J$5:$J$504,$A91,'EXPENDITURE LOG'!$A$5:$A$504,"&gt;="&amp;'SUPPORT PLAN'!$C$4,'EXPENDITURE LOG'!$A$5:$A$504,"&lt;"&amp;EDATE($C$4,1))</f>
        <v/>
      </c>
      <c r="I91" s="18">
        <f>C91*MAX(0,$F$4)</f>
        <v/>
      </c>
      <c r="J91" s="18">
        <f>H91-I91</f>
        <v/>
      </c>
      <c r="K91" s="15">
        <f>SUMIFS('EXPENDITURE LOG'!$D$5:$D$504,'EXPENDITURE LOG'!$J$5:$J$504,$A91)</f>
        <v/>
      </c>
    </row>
    <row r="92">
      <c r="A92" s="35">
        <f>EXPENSES!L90</f>
        <v/>
      </c>
      <c r="B92" s="36">
        <f>EXPENSES!B90</f>
        <v/>
      </c>
      <c r="C92" s="31">
        <f>EXPENSES!E90</f>
        <v/>
      </c>
      <c r="D92" s="31">
        <f>IF(AND($F$4&gt;=1,$F$4&lt;=3),CHOOSE($F$4,'SUPPORT PLAN'!$M92,'SUPPORT PLAN'!$T92,'SUPPORT PLAN'!$AA92),0)</f>
        <v/>
      </c>
      <c r="E92" s="18">
        <f>SUMIFS('EXPENDITURE LOG'!$D$5:$D$504,'EXPENDITURE LOG'!$J$5:$J$504,$A92,'EXPENDITURE LOG'!$A$5:$A$504,"&gt;="&amp;$C$4,'EXPENDITURE LOG'!$A$5:$A$504,"&lt;"&amp;EDATE($C$4,1))</f>
        <v/>
      </c>
      <c r="F92" s="18">
        <f>SUMIFS('EXPENDITURE LOG'!$D$5:$D$504,'EXPENDITURE LOG'!$J$5:$J$504,$A92,'EXPENDITURE LOG'!$A$5:$A$504,"&gt;="&amp;$C$4,'EXPENDITURE LOG'!$A$5:$A$504,"&lt;"&amp;EDATE($C$4,1),'EXPENDITURE LOG'!$F$5:$F$504,"Church*")</f>
        <v/>
      </c>
      <c r="G92" s="18">
        <f>E92-C92</f>
        <v/>
      </c>
      <c r="H92" s="18">
        <f>SUMIFS('EXPENDITURE LOG'!$D$5:$D$504,'EXPENDITURE LOG'!$J$5:$J$504,$A92,'EXPENDITURE LOG'!$A$5:$A$504,"&gt;="&amp;'SUPPORT PLAN'!$C$4,'EXPENDITURE LOG'!$A$5:$A$504,"&lt;"&amp;EDATE($C$4,1))</f>
        <v/>
      </c>
      <c r="I92" s="18">
        <f>C92*MAX(0,$F$4)</f>
        <v/>
      </c>
      <c r="J92" s="18">
        <f>H92-I92</f>
        <v/>
      </c>
      <c r="K92" s="15">
        <f>SUMIFS('EXPENDITURE LOG'!$D$5:$D$504,'EXPENDITURE LOG'!$J$5:$J$504,$A92)</f>
        <v/>
      </c>
    </row>
    <row r="93">
      <c r="A93" s="35">
        <f>EXPENSES!L91</f>
        <v/>
      </c>
      <c r="B93" s="36">
        <f>EXPENSES!B91</f>
        <v/>
      </c>
      <c r="C93" s="31">
        <f>EXPENSES!E91</f>
        <v/>
      </c>
      <c r="D93" s="31">
        <f>IF(AND($F$4&gt;=1,$F$4&lt;=3),CHOOSE($F$4,'SUPPORT PLAN'!$M93,'SUPPORT PLAN'!$T93,'SUPPORT PLAN'!$AA93),0)</f>
        <v/>
      </c>
      <c r="E93" s="18">
        <f>SUMIFS('EXPENDITURE LOG'!$D$5:$D$504,'EXPENDITURE LOG'!$J$5:$J$504,$A93,'EXPENDITURE LOG'!$A$5:$A$504,"&gt;="&amp;$C$4,'EXPENDITURE LOG'!$A$5:$A$504,"&lt;"&amp;EDATE($C$4,1))</f>
        <v/>
      </c>
      <c r="F93" s="18">
        <f>SUMIFS('EXPENDITURE LOG'!$D$5:$D$504,'EXPENDITURE LOG'!$J$5:$J$504,$A93,'EXPENDITURE LOG'!$A$5:$A$504,"&gt;="&amp;$C$4,'EXPENDITURE LOG'!$A$5:$A$504,"&lt;"&amp;EDATE($C$4,1),'EXPENDITURE LOG'!$F$5:$F$504,"Church*")</f>
        <v/>
      </c>
      <c r="G93" s="18">
        <f>E93-C93</f>
        <v/>
      </c>
      <c r="H93" s="18">
        <f>SUMIFS('EXPENDITURE LOG'!$D$5:$D$504,'EXPENDITURE LOG'!$J$5:$J$504,$A93,'EXPENDITURE LOG'!$A$5:$A$504,"&gt;="&amp;'SUPPORT PLAN'!$C$4,'EXPENDITURE LOG'!$A$5:$A$504,"&lt;"&amp;EDATE($C$4,1))</f>
        <v/>
      </c>
      <c r="I93" s="18">
        <f>C93*MAX(0,$F$4)</f>
        <v/>
      </c>
      <c r="J93" s="18">
        <f>H93-I93</f>
        <v/>
      </c>
      <c r="K93" s="15">
        <f>SUMIFS('EXPENDITURE LOG'!$D$5:$D$504,'EXPENDITURE LOG'!$J$5:$J$504,$A93)</f>
        <v/>
      </c>
    </row>
    <row r="94">
      <c r="A94" s="35">
        <f>EXPENSES!L92</f>
        <v/>
      </c>
      <c r="B94" s="36">
        <f>EXPENSES!B92</f>
        <v/>
      </c>
      <c r="C94" s="31">
        <f>EXPENSES!E92</f>
        <v/>
      </c>
      <c r="D94" s="31">
        <f>IF(AND($F$4&gt;=1,$F$4&lt;=3),CHOOSE($F$4,'SUPPORT PLAN'!$M94,'SUPPORT PLAN'!$T94,'SUPPORT PLAN'!$AA94),0)</f>
        <v/>
      </c>
      <c r="E94" s="18">
        <f>SUMIFS('EXPENDITURE LOG'!$D$5:$D$504,'EXPENDITURE LOG'!$J$5:$J$504,$A94,'EXPENDITURE LOG'!$A$5:$A$504,"&gt;="&amp;$C$4,'EXPENDITURE LOG'!$A$5:$A$504,"&lt;"&amp;EDATE($C$4,1))</f>
        <v/>
      </c>
      <c r="F94" s="18">
        <f>SUMIFS('EXPENDITURE LOG'!$D$5:$D$504,'EXPENDITURE LOG'!$J$5:$J$504,$A94,'EXPENDITURE LOG'!$A$5:$A$504,"&gt;="&amp;$C$4,'EXPENDITURE LOG'!$A$5:$A$504,"&lt;"&amp;EDATE($C$4,1),'EXPENDITURE LOG'!$F$5:$F$504,"Church*")</f>
        <v/>
      </c>
      <c r="G94" s="18">
        <f>E94-C94</f>
        <v/>
      </c>
      <c r="H94" s="18">
        <f>SUMIFS('EXPENDITURE LOG'!$D$5:$D$504,'EXPENDITURE LOG'!$J$5:$J$504,$A94,'EXPENDITURE LOG'!$A$5:$A$504,"&gt;="&amp;'SUPPORT PLAN'!$C$4,'EXPENDITURE LOG'!$A$5:$A$504,"&lt;"&amp;EDATE($C$4,1))</f>
        <v/>
      </c>
      <c r="I94" s="18">
        <f>C94*MAX(0,$F$4)</f>
        <v/>
      </c>
      <c r="J94" s="18">
        <f>H94-I94</f>
        <v/>
      </c>
      <c r="K94" s="15">
        <f>SUMIFS('EXPENDITURE LOG'!$D$5:$D$504,'EXPENDITURE LOG'!$J$5:$J$504,$A94)</f>
        <v/>
      </c>
    </row>
    <row r="95">
      <c r="A95" s="35">
        <f>EXPENSES!L93</f>
        <v/>
      </c>
      <c r="B95" s="36">
        <f>EXPENSES!B93</f>
        <v/>
      </c>
      <c r="C95" s="31">
        <f>EXPENSES!E93</f>
        <v/>
      </c>
      <c r="D95" s="31">
        <f>IF(AND($F$4&gt;=1,$F$4&lt;=3),CHOOSE($F$4,'SUPPORT PLAN'!$M95,'SUPPORT PLAN'!$T95,'SUPPORT PLAN'!$AA95),0)</f>
        <v/>
      </c>
      <c r="E95" s="18">
        <f>SUMIFS('EXPENDITURE LOG'!$D$5:$D$504,'EXPENDITURE LOG'!$J$5:$J$504,$A95,'EXPENDITURE LOG'!$A$5:$A$504,"&gt;="&amp;$C$4,'EXPENDITURE LOG'!$A$5:$A$504,"&lt;"&amp;EDATE($C$4,1))</f>
        <v/>
      </c>
      <c r="F95" s="18">
        <f>SUMIFS('EXPENDITURE LOG'!$D$5:$D$504,'EXPENDITURE LOG'!$J$5:$J$504,$A95,'EXPENDITURE LOG'!$A$5:$A$504,"&gt;="&amp;$C$4,'EXPENDITURE LOG'!$A$5:$A$504,"&lt;"&amp;EDATE($C$4,1),'EXPENDITURE LOG'!$F$5:$F$504,"Church*")</f>
        <v/>
      </c>
      <c r="G95" s="18">
        <f>E95-C95</f>
        <v/>
      </c>
      <c r="H95" s="18">
        <f>SUMIFS('EXPENDITURE LOG'!$D$5:$D$504,'EXPENDITURE LOG'!$J$5:$J$504,$A95,'EXPENDITURE LOG'!$A$5:$A$504,"&gt;="&amp;'SUPPORT PLAN'!$C$4,'EXPENDITURE LOG'!$A$5:$A$504,"&lt;"&amp;EDATE($C$4,1))</f>
        <v/>
      </c>
      <c r="I95" s="18">
        <f>C95*MAX(0,$F$4)</f>
        <v/>
      </c>
      <c r="J95" s="18">
        <f>H95-I95</f>
        <v/>
      </c>
      <c r="K95" s="15">
        <f>SUMIFS('EXPENDITURE LOG'!$D$5:$D$504,'EXPENDITURE LOG'!$J$5:$J$504,$A95)</f>
        <v/>
      </c>
    </row>
    <row r="96">
      <c r="A96" s="23" t="n"/>
      <c r="B96" s="113" t="inlineStr">
        <is>
          <t>PETS</t>
        </is>
      </c>
      <c r="C96" s="24">
        <f>SUM(C97:C100)</f>
        <v/>
      </c>
      <c r="D96" s="24">
        <f>SUM(D97:D100)</f>
        <v/>
      </c>
      <c r="E96" s="24">
        <f>SUM(E97:E100)</f>
        <v/>
      </c>
      <c r="F96" s="24">
        <f>SUM(F97:F100)</f>
        <v/>
      </c>
      <c r="G96" s="24">
        <f>SUM(G97:G100)</f>
        <v/>
      </c>
      <c r="H96" s="24">
        <f>SUM(H97:H100)</f>
        <v/>
      </c>
      <c r="I96" s="24">
        <f>SUM(I97:I100)</f>
        <v/>
      </c>
      <c r="J96" s="24">
        <f>SUM(J97:J100)</f>
        <v/>
      </c>
      <c r="K96" s="24">
        <f>SUM(K97:K100)</f>
        <v/>
      </c>
    </row>
    <row r="97">
      <c r="A97" s="35">
        <f>EXPENSES!L95</f>
        <v/>
      </c>
      <c r="B97" s="36">
        <f>EXPENSES!B95</f>
        <v/>
      </c>
      <c r="C97" s="31">
        <f>EXPENSES!E95</f>
        <v/>
      </c>
      <c r="D97" s="31">
        <f>IF(AND($F$4&gt;=1,$F$4&lt;=3),CHOOSE($F$4,'SUPPORT PLAN'!$M97,'SUPPORT PLAN'!$T97,'SUPPORT PLAN'!$AA97),0)</f>
        <v/>
      </c>
      <c r="E97" s="18">
        <f>SUMIFS('EXPENDITURE LOG'!$D$5:$D$504,'EXPENDITURE LOG'!$J$5:$J$504,$A97,'EXPENDITURE LOG'!$A$5:$A$504,"&gt;="&amp;$C$4,'EXPENDITURE LOG'!$A$5:$A$504,"&lt;"&amp;EDATE($C$4,1))</f>
        <v/>
      </c>
      <c r="F97" s="18">
        <f>SUMIFS('EXPENDITURE LOG'!$D$5:$D$504,'EXPENDITURE LOG'!$J$5:$J$504,$A97,'EXPENDITURE LOG'!$A$5:$A$504,"&gt;="&amp;$C$4,'EXPENDITURE LOG'!$A$5:$A$504,"&lt;"&amp;EDATE($C$4,1),'EXPENDITURE LOG'!$F$5:$F$504,"Church*")</f>
        <v/>
      </c>
      <c r="G97" s="18">
        <f>E97-C97</f>
        <v/>
      </c>
      <c r="H97" s="18">
        <f>SUMIFS('EXPENDITURE LOG'!$D$5:$D$504,'EXPENDITURE LOG'!$J$5:$J$504,$A97,'EXPENDITURE LOG'!$A$5:$A$504,"&gt;="&amp;'SUPPORT PLAN'!$C$4,'EXPENDITURE LOG'!$A$5:$A$504,"&lt;"&amp;EDATE($C$4,1))</f>
        <v/>
      </c>
      <c r="I97" s="18">
        <f>C97*MAX(0,$F$4)</f>
        <v/>
      </c>
      <c r="J97" s="18">
        <f>H97-I97</f>
        <v/>
      </c>
      <c r="K97" s="15">
        <f>SUMIFS('EXPENDITURE LOG'!$D$5:$D$504,'EXPENDITURE LOG'!$J$5:$J$504,$A97)</f>
        <v/>
      </c>
    </row>
    <row r="98">
      <c r="A98" s="35">
        <f>EXPENSES!L96</f>
        <v/>
      </c>
      <c r="B98" s="36">
        <f>EXPENSES!B96</f>
        <v/>
      </c>
      <c r="C98" s="31">
        <f>EXPENSES!E96</f>
        <v/>
      </c>
      <c r="D98" s="31">
        <f>IF(AND($F$4&gt;=1,$F$4&lt;=3),CHOOSE($F$4,'SUPPORT PLAN'!$M98,'SUPPORT PLAN'!$T98,'SUPPORT PLAN'!$AA98),0)</f>
        <v/>
      </c>
      <c r="E98" s="18">
        <f>SUMIFS('EXPENDITURE LOG'!$D$5:$D$504,'EXPENDITURE LOG'!$J$5:$J$504,$A98,'EXPENDITURE LOG'!$A$5:$A$504,"&gt;="&amp;$C$4,'EXPENDITURE LOG'!$A$5:$A$504,"&lt;"&amp;EDATE($C$4,1))</f>
        <v/>
      </c>
      <c r="F98" s="18">
        <f>SUMIFS('EXPENDITURE LOG'!$D$5:$D$504,'EXPENDITURE LOG'!$J$5:$J$504,$A98,'EXPENDITURE LOG'!$A$5:$A$504,"&gt;="&amp;$C$4,'EXPENDITURE LOG'!$A$5:$A$504,"&lt;"&amp;EDATE($C$4,1),'EXPENDITURE LOG'!$F$5:$F$504,"Church*")</f>
        <v/>
      </c>
      <c r="G98" s="18">
        <f>E98-C98</f>
        <v/>
      </c>
      <c r="H98" s="18">
        <f>SUMIFS('EXPENDITURE LOG'!$D$5:$D$504,'EXPENDITURE LOG'!$J$5:$J$504,$A98,'EXPENDITURE LOG'!$A$5:$A$504,"&gt;="&amp;'SUPPORT PLAN'!$C$4,'EXPENDITURE LOG'!$A$5:$A$504,"&lt;"&amp;EDATE($C$4,1))</f>
        <v/>
      </c>
      <c r="I98" s="18">
        <f>C98*MAX(0,$F$4)</f>
        <v/>
      </c>
      <c r="J98" s="18">
        <f>H98-I98</f>
        <v/>
      </c>
      <c r="K98" s="15">
        <f>SUMIFS('EXPENDITURE LOG'!$D$5:$D$504,'EXPENDITURE LOG'!$J$5:$J$504,$A98)</f>
        <v/>
      </c>
    </row>
    <row r="99">
      <c r="A99" s="35">
        <f>EXPENSES!L97</f>
        <v/>
      </c>
      <c r="B99" s="36">
        <f>EXPENSES!B97</f>
        <v/>
      </c>
      <c r="C99" s="31">
        <f>EXPENSES!E97</f>
        <v/>
      </c>
      <c r="D99" s="31">
        <f>IF(AND($F$4&gt;=1,$F$4&lt;=3),CHOOSE($F$4,'SUPPORT PLAN'!$M99,'SUPPORT PLAN'!$T99,'SUPPORT PLAN'!$AA99),0)</f>
        <v/>
      </c>
      <c r="E99" s="18">
        <f>SUMIFS('EXPENDITURE LOG'!$D$5:$D$504,'EXPENDITURE LOG'!$J$5:$J$504,$A99,'EXPENDITURE LOG'!$A$5:$A$504,"&gt;="&amp;$C$4,'EXPENDITURE LOG'!$A$5:$A$504,"&lt;"&amp;EDATE($C$4,1))</f>
        <v/>
      </c>
      <c r="F99" s="18">
        <f>SUMIFS('EXPENDITURE LOG'!$D$5:$D$504,'EXPENDITURE LOG'!$J$5:$J$504,$A99,'EXPENDITURE LOG'!$A$5:$A$504,"&gt;="&amp;$C$4,'EXPENDITURE LOG'!$A$5:$A$504,"&lt;"&amp;EDATE($C$4,1),'EXPENDITURE LOG'!$F$5:$F$504,"Church*")</f>
        <v/>
      </c>
      <c r="G99" s="18">
        <f>E99-C99</f>
        <v/>
      </c>
      <c r="H99" s="18">
        <f>SUMIFS('EXPENDITURE LOG'!$D$5:$D$504,'EXPENDITURE LOG'!$J$5:$J$504,$A99,'EXPENDITURE LOG'!$A$5:$A$504,"&gt;="&amp;'SUPPORT PLAN'!$C$4,'EXPENDITURE LOG'!$A$5:$A$504,"&lt;"&amp;EDATE($C$4,1))</f>
        <v/>
      </c>
      <c r="I99" s="18">
        <f>C99*MAX(0,$F$4)</f>
        <v/>
      </c>
      <c r="J99" s="18">
        <f>H99-I99</f>
        <v/>
      </c>
      <c r="K99" s="15">
        <f>SUMIFS('EXPENDITURE LOG'!$D$5:$D$504,'EXPENDITURE LOG'!$J$5:$J$504,$A99)</f>
        <v/>
      </c>
    </row>
    <row r="100">
      <c r="A100" s="35">
        <f>EXPENSES!L98</f>
        <v/>
      </c>
      <c r="B100" s="36">
        <f>EXPENSES!B98</f>
        <v/>
      </c>
      <c r="C100" s="31">
        <f>EXPENSES!E98</f>
        <v/>
      </c>
      <c r="D100" s="31">
        <f>IF(AND($F$4&gt;=1,$F$4&lt;=3),CHOOSE($F$4,'SUPPORT PLAN'!$M100,'SUPPORT PLAN'!$T100,'SUPPORT PLAN'!$AA100),0)</f>
        <v/>
      </c>
      <c r="E100" s="18">
        <f>SUMIFS('EXPENDITURE LOG'!$D$5:$D$504,'EXPENDITURE LOG'!$J$5:$J$504,$A100,'EXPENDITURE LOG'!$A$5:$A$504,"&gt;="&amp;$C$4,'EXPENDITURE LOG'!$A$5:$A$504,"&lt;"&amp;EDATE($C$4,1))</f>
        <v/>
      </c>
      <c r="F100" s="18">
        <f>SUMIFS('EXPENDITURE LOG'!$D$5:$D$504,'EXPENDITURE LOG'!$J$5:$J$504,$A100,'EXPENDITURE LOG'!$A$5:$A$504,"&gt;="&amp;$C$4,'EXPENDITURE LOG'!$A$5:$A$504,"&lt;"&amp;EDATE($C$4,1),'EXPENDITURE LOG'!$F$5:$F$504,"Church*")</f>
        <v/>
      </c>
      <c r="G100" s="18">
        <f>E100-C100</f>
        <v/>
      </c>
      <c r="H100" s="18">
        <f>SUMIFS('EXPENDITURE LOG'!$D$5:$D$504,'EXPENDITURE LOG'!$J$5:$J$504,$A100,'EXPENDITURE LOG'!$A$5:$A$504,"&gt;="&amp;'SUPPORT PLAN'!$C$4,'EXPENDITURE LOG'!$A$5:$A$504,"&lt;"&amp;EDATE($C$4,1))</f>
        <v/>
      </c>
      <c r="I100" s="18">
        <f>C100*MAX(0,$F$4)</f>
        <v/>
      </c>
      <c r="J100" s="18">
        <f>H100-I100</f>
        <v/>
      </c>
      <c r="K100" s="15">
        <f>SUMIFS('EXPENDITURE LOG'!$D$5:$D$504,'EXPENDITURE LOG'!$J$5:$J$504,$A100)</f>
        <v/>
      </c>
    </row>
    <row r="101">
      <c r="A101" s="23" t="n"/>
      <c r="B101" s="113" t="inlineStr">
        <is>
          <t>SUBSCRIPTIONS &amp; MEMBERSHIPS</t>
        </is>
      </c>
      <c r="C101" s="24">
        <f>SUM(C102:C107)</f>
        <v/>
      </c>
      <c r="D101" s="24">
        <f>SUM(D102:D107)</f>
        <v/>
      </c>
      <c r="E101" s="24">
        <f>SUM(E102:E107)</f>
        <v/>
      </c>
      <c r="F101" s="24">
        <f>SUM(F102:F107)</f>
        <v/>
      </c>
      <c r="G101" s="24">
        <f>SUM(G102:G107)</f>
        <v/>
      </c>
      <c r="H101" s="24">
        <f>SUM(H102:H107)</f>
        <v/>
      </c>
      <c r="I101" s="24">
        <f>SUM(I102:I107)</f>
        <v/>
      </c>
      <c r="J101" s="24">
        <f>SUM(J102:J107)</f>
        <v/>
      </c>
      <c r="K101" s="24">
        <f>SUM(K102:K107)</f>
        <v/>
      </c>
    </row>
    <row r="102">
      <c r="A102" s="35">
        <f>EXPENSES!L100</f>
        <v/>
      </c>
      <c r="B102" s="36">
        <f>EXPENSES!B100</f>
        <v/>
      </c>
      <c r="C102" s="31">
        <f>EXPENSES!E100</f>
        <v/>
      </c>
      <c r="D102" s="31">
        <f>IF(AND($F$4&gt;=1,$F$4&lt;=3),CHOOSE($F$4,'SUPPORT PLAN'!$M102,'SUPPORT PLAN'!$T102,'SUPPORT PLAN'!$AA102),0)</f>
        <v/>
      </c>
      <c r="E102" s="18">
        <f>SUMIFS('EXPENDITURE LOG'!$D$5:$D$504,'EXPENDITURE LOG'!$J$5:$J$504,$A102,'EXPENDITURE LOG'!$A$5:$A$504,"&gt;="&amp;$C$4,'EXPENDITURE LOG'!$A$5:$A$504,"&lt;"&amp;EDATE($C$4,1))</f>
        <v/>
      </c>
      <c r="F102" s="18">
        <f>SUMIFS('EXPENDITURE LOG'!$D$5:$D$504,'EXPENDITURE LOG'!$J$5:$J$504,$A102,'EXPENDITURE LOG'!$A$5:$A$504,"&gt;="&amp;$C$4,'EXPENDITURE LOG'!$A$5:$A$504,"&lt;"&amp;EDATE($C$4,1),'EXPENDITURE LOG'!$F$5:$F$504,"Church*")</f>
        <v/>
      </c>
      <c r="G102" s="18">
        <f>E102-C102</f>
        <v/>
      </c>
      <c r="H102" s="18">
        <f>SUMIFS('EXPENDITURE LOG'!$D$5:$D$504,'EXPENDITURE LOG'!$J$5:$J$504,$A102,'EXPENDITURE LOG'!$A$5:$A$504,"&gt;="&amp;'SUPPORT PLAN'!$C$4,'EXPENDITURE LOG'!$A$5:$A$504,"&lt;"&amp;EDATE($C$4,1))</f>
        <v/>
      </c>
      <c r="I102" s="18">
        <f>C102*MAX(0,$F$4)</f>
        <v/>
      </c>
      <c r="J102" s="18">
        <f>H102-I102</f>
        <v/>
      </c>
      <c r="K102" s="15">
        <f>SUMIFS('EXPENDITURE LOG'!$D$5:$D$504,'EXPENDITURE LOG'!$J$5:$J$504,$A102)</f>
        <v/>
      </c>
    </row>
    <row r="103">
      <c r="A103" s="35">
        <f>EXPENSES!L101</f>
        <v/>
      </c>
      <c r="B103" s="36">
        <f>EXPENSES!B101</f>
        <v/>
      </c>
      <c r="C103" s="31">
        <f>EXPENSES!E101</f>
        <v/>
      </c>
      <c r="D103" s="31">
        <f>IF(AND($F$4&gt;=1,$F$4&lt;=3),CHOOSE($F$4,'SUPPORT PLAN'!$M103,'SUPPORT PLAN'!$T103,'SUPPORT PLAN'!$AA103),0)</f>
        <v/>
      </c>
      <c r="E103" s="18">
        <f>SUMIFS('EXPENDITURE LOG'!$D$5:$D$504,'EXPENDITURE LOG'!$J$5:$J$504,$A103,'EXPENDITURE LOG'!$A$5:$A$504,"&gt;="&amp;$C$4,'EXPENDITURE LOG'!$A$5:$A$504,"&lt;"&amp;EDATE($C$4,1))</f>
        <v/>
      </c>
      <c r="F103" s="18">
        <f>SUMIFS('EXPENDITURE LOG'!$D$5:$D$504,'EXPENDITURE LOG'!$J$5:$J$504,$A103,'EXPENDITURE LOG'!$A$5:$A$504,"&gt;="&amp;$C$4,'EXPENDITURE LOG'!$A$5:$A$504,"&lt;"&amp;EDATE($C$4,1),'EXPENDITURE LOG'!$F$5:$F$504,"Church*")</f>
        <v/>
      </c>
      <c r="G103" s="18">
        <f>E103-C103</f>
        <v/>
      </c>
      <c r="H103" s="18">
        <f>SUMIFS('EXPENDITURE LOG'!$D$5:$D$504,'EXPENDITURE LOG'!$J$5:$J$504,$A103,'EXPENDITURE LOG'!$A$5:$A$504,"&gt;="&amp;'SUPPORT PLAN'!$C$4,'EXPENDITURE LOG'!$A$5:$A$504,"&lt;"&amp;EDATE($C$4,1))</f>
        <v/>
      </c>
      <c r="I103" s="18">
        <f>C103*MAX(0,$F$4)</f>
        <v/>
      </c>
      <c r="J103" s="18">
        <f>H103-I103</f>
        <v/>
      </c>
      <c r="K103" s="15">
        <f>SUMIFS('EXPENDITURE LOG'!$D$5:$D$504,'EXPENDITURE LOG'!$J$5:$J$504,$A103)</f>
        <v/>
      </c>
    </row>
    <row r="104">
      <c r="A104" s="35">
        <f>EXPENSES!L102</f>
        <v/>
      </c>
      <c r="B104" s="36">
        <f>EXPENSES!B102</f>
        <v/>
      </c>
      <c r="C104" s="31">
        <f>EXPENSES!E102</f>
        <v/>
      </c>
      <c r="D104" s="31">
        <f>IF(AND($F$4&gt;=1,$F$4&lt;=3),CHOOSE($F$4,'SUPPORT PLAN'!$M104,'SUPPORT PLAN'!$T104,'SUPPORT PLAN'!$AA104),0)</f>
        <v/>
      </c>
      <c r="E104" s="18">
        <f>SUMIFS('EXPENDITURE LOG'!$D$5:$D$504,'EXPENDITURE LOG'!$J$5:$J$504,$A104,'EXPENDITURE LOG'!$A$5:$A$504,"&gt;="&amp;$C$4,'EXPENDITURE LOG'!$A$5:$A$504,"&lt;"&amp;EDATE($C$4,1))</f>
        <v/>
      </c>
      <c r="F104" s="18">
        <f>SUMIFS('EXPENDITURE LOG'!$D$5:$D$504,'EXPENDITURE LOG'!$J$5:$J$504,$A104,'EXPENDITURE LOG'!$A$5:$A$504,"&gt;="&amp;$C$4,'EXPENDITURE LOG'!$A$5:$A$504,"&lt;"&amp;EDATE($C$4,1),'EXPENDITURE LOG'!$F$5:$F$504,"Church*")</f>
        <v/>
      </c>
      <c r="G104" s="18">
        <f>E104-C104</f>
        <v/>
      </c>
      <c r="H104" s="18">
        <f>SUMIFS('EXPENDITURE LOG'!$D$5:$D$504,'EXPENDITURE LOG'!$J$5:$J$504,$A104,'EXPENDITURE LOG'!$A$5:$A$504,"&gt;="&amp;'SUPPORT PLAN'!$C$4,'EXPENDITURE LOG'!$A$5:$A$504,"&lt;"&amp;EDATE($C$4,1))</f>
        <v/>
      </c>
      <c r="I104" s="18">
        <f>C104*MAX(0,$F$4)</f>
        <v/>
      </c>
      <c r="J104" s="18">
        <f>H104-I104</f>
        <v/>
      </c>
      <c r="K104" s="15">
        <f>SUMIFS('EXPENDITURE LOG'!$D$5:$D$504,'EXPENDITURE LOG'!$J$5:$J$504,$A104)</f>
        <v/>
      </c>
    </row>
    <row r="105">
      <c r="A105" s="35">
        <f>EXPENSES!L103</f>
        <v/>
      </c>
      <c r="B105" s="36">
        <f>EXPENSES!B103</f>
        <v/>
      </c>
      <c r="C105" s="31">
        <f>EXPENSES!E103</f>
        <v/>
      </c>
      <c r="D105" s="31">
        <f>IF(AND($F$4&gt;=1,$F$4&lt;=3),CHOOSE($F$4,'SUPPORT PLAN'!$M105,'SUPPORT PLAN'!$T105,'SUPPORT PLAN'!$AA105),0)</f>
        <v/>
      </c>
      <c r="E105" s="18">
        <f>SUMIFS('EXPENDITURE LOG'!$D$5:$D$504,'EXPENDITURE LOG'!$J$5:$J$504,$A105,'EXPENDITURE LOG'!$A$5:$A$504,"&gt;="&amp;$C$4,'EXPENDITURE LOG'!$A$5:$A$504,"&lt;"&amp;EDATE($C$4,1))</f>
        <v/>
      </c>
      <c r="F105" s="18">
        <f>SUMIFS('EXPENDITURE LOG'!$D$5:$D$504,'EXPENDITURE LOG'!$J$5:$J$504,$A105,'EXPENDITURE LOG'!$A$5:$A$504,"&gt;="&amp;$C$4,'EXPENDITURE LOG'!$A$5:$A$504,"&lt;"&amp;EDATE($C$4,1),'EXPENDITURE LOG'!$F$5:$F$504,"Church*")</f>
        <v/>
      </c>
      <c r="G105" s="18">
        <f>E105-C105</f>
        <v/>
      </c>
      <c r="H105" s="18">
        <f>SUMIFS('EXPENDITURE LOG'!$D$5:$D$504,'EXPENDITURE LOG'!$J$5:$J$504,$A105,'EXPENDITURE LOG'!$A$5:$A$504,"&gt;="&amp;'SUPPORT PLAN'!$C$4,'EXPENDITURE LOG'!$A$5:$A$504,"&lt;"&amp;EDATE($C$4,1))</f>
        <v/>
      </c>
      <c r="I105" s="18">
        <f>C105*MAX(0,$F$4)</f>
        <v/>
      </c>
      <c r="J105" s="18">
        <f>H105-I105</f>
        <v/>
      </c>
      <c r="K105" s="15">
        <f>SUMIFS('EXPENDITURE LOG'!$D$5:$D$504,'EXPENDITURE LOG'!$J$5:$J$504,$A105)</f>
        <v/>
      </c>
    </row>
    <row r="106">
      <c r="A106" s="35">
        <f>EXPENSES!L104</f>
        <v/>
      </c>
      <c r="B106" s="36">
        <f>EXPENSES!B104</f>
        <v/>
      </c>
      <c r="C106" s="31">
        <f>EXPENSES!E104</f>
        <v/>
      </c>
      <c r="D106" s="31">
        <f>IF(AND($F$4&gt;=1,$F$4&lt;=3),CHOOSE($F$4,'SUPPORT PLAN'!$M106,'SUPPORT PLAN'!$T106,'SUPPORT PLAN'!$AA106),0)</f>
        <v/>
      </c>
      <c r="E106" s="18">
        <f>SUMIFS('EXPENDITURE LOG'!$D$5:$D$504,'EXPENDITURE LOG'!$J$5:$J$504,$A106,'EXPENDITURE LOG'!$A$5:$A$504,"&gt;="&amp;$C$4,'EXPENDITURE LOG'!$A$5:$A$504,"&lt;"&amp;EDATE($C$4,1))</f>
        <v/>
      </c>
      <c r="F106" s="18">
        <f>SUMIFS('EXPENDITURE LOG'!$D$5:$D$504,'EXPENDITURE LOG'!$J$5:$J$504,$A106,'EXPENDITURE LOG'!$A$5:$A$504,"&gt;="&amp;$C$4,'EXPENDITURE LOG'!$A$5:$A$504,"&lt;"&amp;EDATE($C$4,1),'EXPENDITURE LOG'!$F$5:$F$504,"Church*")</f>
        <v/>
      </c>
      <c r="G106" s="18">
        <f>E106-C106</f>
        <v/>
      </c>
      <c r="H106" s="18">
        <f>SUMIFS('EXPENDITURE LOG'!$D$5:$D$504,'EXPENDITURE LOG'!$J$5:$J$504,$A106,'EXPENDITURE LOG'!$A$5:$A$504,"&gt;="&amp;'SUPPORT PLAN'!$C$4,'EXPENDITURE LOG'!$A$5:$A$504,"&lt;"&amp;EDATE($C$4,1))</f>
        <v/>
      </c>
      <c r="I106" s="18">
        <f>C106*MAX(0,$F$4)</f>
        <v/>
      </c>
      <c r="J106" s="18">
        <f>H106-I106</f>
        <v/>
      </c>
      <c r="K106" s="15">
        <f>SUMIFS('EXPENDITURE LOG'!$D$5:$D$504,'EXPENDITURE LOG'!$J$5:$J$504,$A106)</f>
        <v/>
      </c>
    </row>
    <row r="107">
      <c r="A107" s="35">
        <f>EXPENSES!L105</f>
        <v/>
      </c>
      <c r="B107" s="36">
        <f>EXPENSES!B105</f>
        <v/>
      </c>
      <c r="C107" s="31">
        <f>EXPENSES!E105</f>
        <v/>
      </c>
      <c r="D107" s="31">
        <f>IF(AND($F$4&gt;=1,$F$4&lt;=3),CHOOSE($F$4,'SUPPORT PLAN'!$M107,'SUPPORT PLAN'!$T107,'SUPPORT PLAN'!$AA107),0)</f>
        <v/>
      </c>
      <c r="E107" s="18">
        <f>SUMIFS('EXPENDITURE LOG'!$D$5:$D$504,'EXPENDITURE LOG'!$J$5:$J$504,$A107,'EXPENDITURE LOG'!$A$5:$A$504,"&gt;="&amp;$C$4,'EXPENDITURE LOG'!$A$5:$A$504,"&lt;"&amp;EDATE($C$4,1))</f>
        <v/>
      </c>
      <c r="F107" s="18">
        <f>SUMIFS('EXPENDITURE LOG'!$D$5:$D$504,'EXPENDITURE LOG'!$J$5:$J$504,$A107,'EXPENDITURE LOG'!$A$5:$A$504,"&gt;="&amp;$C$4,'EXPENDITURE LOG'!$A$5:$A$504,"&lt;"&amp;EDATE($C$4,1),'EXPENDITURE LOG'!$F$5:$F$504,"Church*")</f>
        <v/>
      </c>
      <c r="G107" s="18">
        <f>E107-C107</f>
        <v/>
      </c>
      <c r="H107" s="18">
        <f>SUMIFS('EXPENDITURE LOG'!$D$5:$D$504,'EXPENDITURE LOG'!$J$5:$J$504,$A107,'EXPENDITURE LOG'!$A$5:$A$504,"&gt;="&amp;'SUPPORT PLAN'!$C$4,'EXPENDITURE LOG'!$A$5:$A$504,"&lt;"&amp;EDATE($C$4,1))</f>
        <v/>
      </c>
      <c r="I107" s="18">
        <f>C107*MAX(0,$F$4)</f>
        <v/>
      </c>
      <c r="J107" s="18">
        <f>H107-I107</f>
        <v/>
      </c>
      <c r="K107" s="15">
        <f>SUMIFS('EXPENDITURE LOG'!$D$5:$D$504,'EXPENDITURE LOG'!$J$5:$J$504,$A107)</f>
        <v/>
      </c>
    </row>
    <row r="108">
      <c r="A108" s="23" t="n"/>
      <c r="B108" s="113" t="inlineStr">
        <is>
          <t>RECREATION &amp; DISCRETIONARY</t>
        </is>
      </c>
      <c r="C108" s="24">
        <f>SUM(C109:C115)</f>
        <v/>
      </c>
      <c r="D108" s="24">
        <f>SUM(D109:D115)</f>
        <v/>
      </c>
      <c r="E108" s="24">
        <f>SUM(E109:E115)</f>
        <v/>
      </c>
      <c r="F108" s="24">
        <f>SUM(F109:F115)</f>
        <v/>
      </c>
      <c r="G108" s="24">
        <f>SUM(G109:G115)</f>
        <v/>
      </c>
      <c r="H108" s="24">
        <f>SUM(H109:H115)</f>
        <v/>
      </c>
      <c r="I108" s="24">
        <f>SUM(I109:I115)</f>
        <v/>
      </c>
      <c r="J108" s="24">
        <f>SUM(J109:J115)</f>
        <v/>
      </c>
      <c r="K108" s="24">
        <f>SUM(K109:K115)</f>
        <v/>
      </c>
    </row>
    <row r="109">
      <c r="A109" s="35">
        <f>EXPENSES!L107</f>
        <v/>
      </c>
      <c r="B109" s="36">
        <f>EXPENSES!B107</f>
        <v/>
      </c>
      <c r="C109" s="31">
        <f>EXPENSES!E107</f>
        <v/>
      </c>
      <c r="D109" s="31">
        <f>IF(AND($F$4&gt;=1,$F$4&lt;=3),CHOOSE($F$4,'SUPPORT PLAN'!$M109,'SUPPORT PLAN'!$T109,'SUPPORT PLAN'!$AA109),0)</f>
        <v/>
      </c>
      <c r="E109" s="18">
        <f>SUMIFS('EXPENDITURE LOG'!$D$5:$D$504,'EXPENDITURE LOG'!$J$5:$J$504,$A109,'EXPENDITURE LOG'!$A$5:$A$504,"&gt;="&amp;$C$4,'EXPENDITURE LOG'!$A$5:$A$504,"&lt;"&amp;EDATE($C$4,1))</f>
        <v/>
      </c>
      <c r="F109" s="18">
        <f>SUMIFS('EXPENDITURE LOG'!$D$5:$D$504,'EXPENDITURE LOG'!$J$5:$J$504,$A109,'EXPENDITURE LOG'!$A$5:$A$504,"&gt;="&amp;$C$4,'EXPENDITURE LOG'!$A$5:$A$504,"&lt;"&amp;EDATE($C$4,1),'EXPENDITURE LOG'!$F$5:$F$504,"Church*")</f>
        <v/>
      </c>
      <c r="G109" s="18">
        <f>E109-C109</f>
        <v/>
      </c>
      <c r="H109" s="18">
        <f>SUMIFS('EXPENDITURE LOG'!$D$5:$D$504,'EXPENDITURE LOG'!$J$5:$J$504,$A109,'EXPENDITURE LOG'!$A$5:$A$504,"&gt;="&amp;'SUPPORT PLAN'!$C$4,'EXPENDITURE LOG'!$A$5:$A$504,"&lt;"&amp;EDATE($C$4,1))</f>
        <v/>
      </c>
      <c r="I109" s="18">
        <f>C109*MAX(0,$F$4)</f>
        <v/>
      </c>
      <c r="J109" s="18">
        <f>H109-I109</f>
        <v/>
      </c>
      <c r="K109" s="15">
        <f>SUMIFS('EXPENDITURE LOG'!$D$5:$D$504,'EXPENDITURE LOG'!$J$5:$J$504,$A109)</f>
        <v/>
      </c>
    </row>
    <row r="110">
      <c r="A110" s="35">
        <f>EXPENSES!L108</f>
        <v/>
      </c>
      <c r="B110" s="36">
        <f>EXPENSES!B108</f>
        <v/>
      </c>
      <c r="C110" s="31">
        <f>EXPENSES!E108</f>
        <v/>
      </c>
      <c r="D110" s="31">
        <f>IF(AND($F$4&gt;=1,$F$4&lt;=3),CHOOSE($F$4,'SUPPORT PLAN'!$M110,'SUPPORT PLAN'!$T110,'SUPPORT PLAN'!$AA110),0)</f>
        <v/>
      </c>
      <c r="E110" s="18">
        <f>SUMIFS('EXPENDITURE LOG'!$D$5:$D$504,'EXPENDITURE LOG'!$J$5:$J$504,$A110,'EXPENDITURE LOG'!$A$5:$A$504,"&gt;="&amp;$C$4,'EXPENDITURE LOG'!$A$5:$A$504,"&lt;"&amp;EDATE($C$4,1))</f>
        <v/>
      </c>
      <c r="F110" s="18">
        <f>SUMIFS('EXPENDITURE LOG'!$D$5:$D$504,'EXPENDITURE LOG'!$J$5:$J$504,$A110,'EXPENDITURE LOG'!$A$5:$A$504,"&gt;="&amp;$C$4,'EXPENDITURE LOG'!$A$5:$A$504,"&lt;"&amp;EDATE($C$4,1),'EXPENDITURE LOG'!$F$5:$F$504,"Church*")</f>
        <v/>
      </c>
      <c r="G110" s="18">
        <f>E110-C110</f>
        <v/>
      </c>
      <c r="H110" s="18">
        <f>SUMIFS('EXPENDITURE LOG'!$D$5:$D$504,'EXPENDITURE LOG'!$J$5:$J$504,$A110,'EXPENDITURE LOG'!$A$5:$A$504,"&gt;="&amp;'SUPPORT PLAN'!$C$4,'EXPENDITURE LOG'!$A$5:$A$504,"&lt;"&amp;EDATE($C$4,1))</f>
        <v/>
      </c>
      <c r="I110" s="18">
        <f>C110*MAX(0,$F$4)</f>
        <v/>
      </c>
      <c r="J110" s="18">
        <f>H110-I110</f>
        <v/>
      </c>
      <c r="K110" s="15">
        <f>SUMIFS('EXPENDITURE LOG'!$D$5:$D$504,'EXPENDITURE LOG'!$J$5:$J$504,$A110)</f>
        <v/>
      </c>
    </row>
    <row r="111">
      <c r="A111" s="35">
        <f>EXPENSES!L109</f>
        <v/>
      </c>
      <c r="B111" s="36">
        <f>EXPENSES!B109</f>
        <v/>
      </c>
      <c r="C111" s="31">
        <f>EXPENSES!E109</f>
        <v/>
      </c>
      <c r="D111" s="31">
        <f>IF(AND($F$4&gt;=1,$F$4&lt;=3),CHOOSE($F$4,'SUPPORT PLAN'!$M111,'SUPPORT PLAN'!$T111,'SUPPORT PLAN'!$AA111),0)</f>
        <v/>
      </c>
      <c r="E111" s="18">
        <f>SUMIFS('EXPENDITURE LOG'!$D$5:$D$504,'EXPENDITURE LOG'!$J$5:$J$504,$A111,'EXPENDITURE LOG'!$A$5:$A$504,"&gt;="&amp;$C$4,'EXPENDITURE LOG'!$A$5:$A$504,"&lt;"&amp;EDATE($C$4,1))</f>
        <v/>
      </c>
      <c r="F111" s="18">
        <f>SUMIFS('EXPENDITURE LOG'!$D$5:$D$504,'EXPENDITURE LOG'!$J$5:$J$504,$A111,'EXPENDITURE LOG'!$A$5:$A$504,"&gt;="&amp;$C$4,'EXPENDITURE LOG'!$A$5:$A$504,"&lt;"&amp;EDATE($C$4,1),'EXPENDITURE LOG'!$F$5:$F$504,"Church*")</f>
        <v/>
      </c>
      <c r="G111" s="18">
        <f>E111-C111</f>
        <v/>
      </c>
      <c r="H111" s="18">
        <f>SUMIFS('EXPENDITURE LOG'!$D$5:$D$504,'EXPENDITURE LOG'!$J$5:$J$504,$A111,'EXPENDITURE LOG'!$A$5:$A$504,"&gt;="&amp;'SUPPORT PLAN'!$C$4,'EXPENDITURE LOG'!$A$5:$A$504,"&lt;"&amp;EDATE($C$4,1))</f>
        <v/>
      </c>
      <c r="I111" s="18">
        <f>C111*MAX(0,$F$4)</f>
        <v/>
      </c>
      <c r="J111" s="18">
        <f>H111-I111</f>
        <v/>
      </c>
      <c r="K111" s="15">
        <f>SUMIFS('EXPENDITURE LOG'!$D$5:$D$504,'EXPENDITURE LOG'!$J$5:$J$504,$A111)</f>
        <v/>
      </c>
    </row>
    <row r="112">
      <c r="A112" s="35">
        <f>EXPENSES!L110</f>
        <v/>
      </c>
      <c r="B112" s="36">
        <f>EXPENSES!B110</f>
        <v/>
      </c>
      <c r="C112" s="31">
        <f>EXPENSES!E110</f>
        <v/>
      </c>
      <c r="D112" s="31">
        <f>IF(AND($F$4&gt;=1,$F$4&lt;=3),CHOOSE($F$4,'SUPPORT PLAN'!$M112,'SUPPORT PLAN'!$T112,'SUPPORT PLAN'!$AA112),0)</f>
        <v/>
      </c>
      <c r="E112" s="18">
        <f>SUMIFS('EXPENDITURE LOG'!$D$5:$D$504,'EXPENDITURE LOG'!$J$5:$J$504,$A112,'EXPENDITURE LOG'!$A$5:$A$504,"&gt;="&amp;$C$4,'EXPENDITURE LOG'!$A$5:$A$504,"&lt;"&amp;EDATE($C$4,1))</f>
        <v/>
      </c>
      <c r="F112" s="18">
        <f>SUMIFS('EXPENDITURE LOG'!$D$5:$D$504,'EXPENDITURE LOG'!$J$5:$J$504,$A112,'EXPENDITURE LOG'!$A$5:$A$504,"&gt;="&amp;$C$4,'EXPENDITURE LOG'!$A$5:$A$504,"&lt;"&amp;EDATE($C$4,1),'EXPENDITURE LOG'!$F$5:$F$504,"Church*")</f>
        <v/>
      </c>
      <c r="G112" s="18">
        <f>E112-C112</f>
        <v/>
      </c>
      <c r="H112" s="18">
        <f>SUMIFS('EXPENDITURE LOG'!$D$5:$D$504,'EXPENDITURE LOG'!$J$5:$J$504,$A112,'EXPENDITURE LOG'!$A$5:$A$504,"&gt;="&amp;'SUPPORT PLAN'!$C$4,'EXPENDITURE LOG'!$A$5:$A$504,"&lt;"&amp;EDATE($C$4,1))</f>
        <v/>
      </c>
      <c r="I112" s="18">
        <f>C112*MAX(0,$F$4)</f>
        <v/>
      </c>
      <c r="J112" s="18">
        <f>H112-I112</f>
        <v/>
      </c>
      <c r="K112" s="15">
        <f>SUMIFS('EXPENDITURE LOG'!$D$5:$D$504,'EXPENDITURE LOG'!$J$5:$J$504,$A112)</f>
        <v/>
      </c>
    </row>
    <row r="113">
      <c r="A113" s="35">
        <f>EXPENSES!L111</f>
        <v/>
      </c>
      <c r="B113" s="36">
        <f>EXPENSES!B111</f>
        <v/>
      </c>
      <c r="C113" s="31">
        <f>EXPENSES!E111</f>
        <v/>
      </c>
      <c r="D113" s="31">
        <f>IF(AND($F$4&gt;=1,$F$4&lt;=3),CHOOSE($F$4,'SUPPORT PLAN'!$M113,'SUPPORT PLAN'!$T113,'SUPPORT PLAN'!$AA113),0)</f>
        <v/>
      </c>
      <c r="E113" s="18">
        <f>SUMIFS('EXPENDITURE LOG'!$D$5:$D$504,'EXPENDITURE LOG'!$J$5:$J$504,$A113,'EXPENDITURE LOG'!$A$5:$A$504,"&gt;="&amp;$C$4,'EXPENDITURE LOG'!$A$5:$A$504,"&lt;"&amp;EDATE($C$4,1))</f>
        <v/>
      </c>
      <c r="F113" s="18">
        <f>SUMIFS('EXPENDITURE LOG'!$D$5:$D$504,'EXPENDITURE LOG'!$J$5:$J$504,$A113,'EXPENDITURE LOG'!$A$5:$A$504,"&gt;="&amp;$C$4,'EXPENDITURE LOG'!$A$5:$A$504,"&lt;"&amp;EDATE($C$4,1),'EXPENDITURE LOG'!$F$5:$F$504,"Church*")</f>
        <v/>
      </c>
      <c r="G113" s="18">
        <f>E113-C113</f>
        <v/>
      </c>
      <c r="H113" s="18">
        <f>SUMIFS('EXPENDITURE LOG'!$D$5:$D$504,'EXPENDITURE LOG'!$J$5:$J$504,$A113,'EXPENDITURE LOG'!$A$5:$A$504,"&gt;="&amp;'SUPPORT PLAN'!$C$4,'EXPENDITURE LOG'!$A$5:$A$504,"&lt;"&amp;EDATE($C$4,1))</f>
        <v/>
      </c>
      <c r="I113" s="18">
        <f>C113*MAX(0,$F$4)</f>
        <v/>
      </c>
      <c r="J113" s="18">
        <f>H113-I113</f>
        <v/>
      </c>
      <c r="K113" s="15">
        <f>SUMIFS('EXPENDITURE LOG'!$D$5:$D$504,'EXPENDITURE LOG'!$J$5:$J$504,$A113)</f>
        <v/>
      </c>
    </row>
    <row r="114">
      <c r="A114" s="35">
        <f>EXPENSES!L112</f>
        <v/>
      </c>
      <c r="B114" s="36">
        <f>EXPENSES!B112</f>
        <v/>
      </c>
      <c r="C114" s="31">
        <f>EXPENSES!E112</f>
        <v/>
      </c>
      <c r="D114" s="31">
        <f>IF(AND($F$4&gt;=1,$F$4&lt;=3),CHOOSE($F$4,'SUPPORT PLAN'!$M114,'SUPPORT PLAN'!$T114,'SUPPORT PLAN'!$AA114),0)</f>
        <v/>
      </c>
      <c r="E114" s="18">
        <f>SUMIFS('EXPENDITURE LOG'!$D$5:$D$504,'EXPENDITURE LOG'!$J$5:$J$504,$A114,'EXPENDITURE LOG'!$A$5:$A$504,"&gt;="&amp;$C$4,'EXPENDITURE LOG'!$A$5:$A$504,"&lt;"&amp;EDATE($C$4,1))</f>
        <v/>
      </c>
      <c r="F114" s="18">
        <f>SUMIFS('EXPENDITURE LOG'!$D$5:$D$504,'EXPENDITURE LOG'!$J$5:$J$504,$A114,'EXPENDITURE LOG'!$A$5:$A$504,"&gt;="&amp;$C$4,'EXPENDITURE LOG'!$A$5:$A$504,"&lt;"&amp;EDATE($C$4,1),'EXPENDITURE LOG'!$F$5:$F$504,"Church*")</f>
        <v/>
      </c>
      <c r="G114" s="18">
        <f>E114-C114</f>
        <v/>
      </c>
      <c r="H114" s="18">
        <f>SUMIFS('EXPENDITURE LOG'!$D$5:$D$504,'EXPENDITURE LOG'!$J$5:$J$504,$A114,'EXPENDITURE LOG'!$A$5:$A$504,"&gt;="&amp;'SUPPORT PLAN'!$C$4,'EXPENDITURE LOG'!$A$5:$A$504,"&lt;"&amp;EDATE($C$4,1))</f>
        <v/>
      </c>
      <c r="I114" s="18">
        <f>C114*MAX(0,$F$4)</f>
        <v/>
      </c>
      <c r="J114" s="18">
        <f>H114-I114</f>
        <v/>
      </c>
      <c r="K114" s="15">
        <f>SUMIFS('EXPENDITURE LOG'!$D$5:$D$504,'EXPENDITURE LOG'!$J$5:$J$504,$A114)</f>
        <v/>
      </c>
    </row>
    <row r="115">
      <c r="A115" s="35">
        <f>EXPENSES!L113</f>
        <v/>
      </c>
      <c r="B115" s="36">
        <f>EXPENSES!B113</f>
        <v/>
      </c>
      <c r="C115" s="31">
        <f>EXPENSES!E113</f>
        <v/>
      </c>
      <c r="D115" s="31">
        <f>IF(AND($F$4&gt;=1,$F$4&lt;=3),CHOOSE($F$4,'SUPPORT PLAN'!$M115,'SUPPORT PLAN'!$T115,'SUPPORT PLAN'!$AA115),0)</f>
        <v/>
      </c>
      <c r="E115" s="18">
        <f>SUMIFS('EXPENDITURE LOG'!$D$5:$D$504,'EXPENDITURE LOG'!$J$5:$J$504,$A115,'EXPENDITURE LOG'!$A$5:$A$504,"&gt;="&amp;$C$4,'EXPENDITURE LOG'!$A$5:$A$504,"&lt;"&amp;EDATE($C$4,1))</f>
        <v/>
      </c>
      <c r="F115" s="18">
        <f>SUMIFS('EXPENDITURE LOG'!$D$5:$D$504,'EXPENDITURE LOG'!$J$5:$J$504,$A115,'EXPENDITURE LOG'!$A$5:$A$504,"&gt;="&amp;$C$4,'EXPENDITURE LOG'!$A$5:$A$504,"&lt;"&amp;EDATE($C$4,1),'EXPENDITURE LOG'!$F$5:$F$504,"Church*")</f>
        <v/>
      </c>
      <c r="G115" s="18">
        <f>E115-C115</f>
        <v/>
      </c>
      <c r="H115" s="18">
        <f>SUMIFS('EXPENDITURE LOG'!$D$5:$D$504,'EXPENDITURE LOG'!$J$5:$J$504,$A115,'EXPENDITURE LOG'!$A$5:$A$504,"&gt;="&amp;'SUPPORT PLAN'!$C$4,'EXPENDITURE LOG'!$A$5:$A$504,"&lt;"&amp;EDATE($C$4,1))</f>
        <v/>
      </c>
      <c r="I115" s="18">
        <f>C115*MAX(0,$F$4)</f>
        <v/>
      </c>
      <c r="J115" s="18">
        <f>H115-I115</f>
        <v/>
      </c>
      <c r="K115" s="15">
        <f>SUMIFS('EXPENDITURE LOG'!$D$5:$D$504,'EXPENDITURE LOG'!$J$5:$J$504,$A115)</f>
        <v/>
      </c>
    </row>
    <row r="116">
      <c r="A116" s="23" t="n"/>
      <c r="B116" s="113" t="inlineStr">
        <is>
          <t>SAVINGS &amp; EMERGENCY</t>
        </is>
      </c>
      <c r="C116" s="24">
        <f>SUM(C117:C121)</f>
        <v/>
      </c>
      <c r="D116" s="24">
        <f>SUM(D117:D121)</f>
        <v/>
      </c>
      <c r="E116" s="24">
        <f>SUM(E117:E121)</f>
        <v/>
      </c>
      <c r="F116" s="24">
        <f>SUM(F117:F121)</f>
        <v/>
      </c>
      <c r="G116" s="24">
        <f>SUM(G117:G121)</f>
        <v/>
      </c>
      <c r="H116" s="24">
        <f>SUM(H117:H121)</f>
        <v/>
      </c>
      <c r="I116" s="24">
        <f>SUM(I117:I121)</f>
        <v/>
      </c>
      <c r="J116" s="24">
        <f>SUM(J117:J121)</f>
        <v/>
      </c>
      <c r="K116" s="24">
        <f>SUM(K117:K121)</f>
        <v/>
      </c>
    </row>
    <row r="117">
      <c r="A117" s="35">
        <f>EXPENSES!L115</f>
        <v/>
      </c>
      <c r="B117" s="36">
        <f>EXPENSES!B115</f>
        <v/>
      </c>
      <c r="C117" s="31">
        <f>EXPENSES!E115</f>
        <v/>
      </c>
      <c r="D117" s="31">
        <f>IF(AND($F$4&gt;=1,$F$4&lt;=3),CHOOSE($F$4,'SUPPORT PLAN'!$M117,'SUPPORT PLAN'!$T117,'SUPPORT PLAN'!$AA117),0)</f>
        <v/>
      </c>
      <c r="E117" s="18">
        <f>SUMIFS('EXPENDITURE LOG'!$D$5:$D$504,'EXPENDITURE LOG'!$J$5:$J$504,$A117,'EXPENDITURE LOG'!$A$5:$A$504,"&gt;="&amp;$C$4,'EXPENDITURE LOG'!$A$5:$A$504,"&lt;"&amp;EDATE($C$4,1))</f>
        <v/>
      </c>
      <c r="F117" s="18">
        <f>SUMIFS('EXPENDITURE LOG'!$D$5:$D$504,'EXPENDITURE LOG'!$J$5:$J$504,$A117,'EXPENDITURE LOG'!$A$5:$A$504,"&gt;="&amp;$C$4,'EXPENDITURE LOG'!$A$5:$A$504,"&lt;"&amp;EDATE($C$4,1),'EXPENDITURE LOG'!$F$5:$F$504,"Church*")</f>
        <v/>
      </c>
      <c r="G117" s="18">
        <f>E117-C117</f>
        <v/>
      </c>
      <c r="H117" s="18">
        <f>SUMIFS('EXPENDITURE LOG'!$D$5:$D$504,'EXPENDITURE LOG'!$J$5:$J$504,$A117,'EXPENDITURE LOG'!$A$5:$A$504,"&gt;="&amp;'SUPPORT PLAN'!$C$4,'EXPENDITURE LOG'!$A$5:$A$504,"&lt;"&amp;EDATE($C$4,1))</f>
        <v/>
      </c>
      <c r="I117" s="18">
        <f>C117*MAX(0,$F$4)</f>
        <v/>
      </c>
      <c r="J117" s="18">
        <f>H117-I117</f>
        <v/>
      </c>
      <c r="K117" s="15">
        <f>SUMIFS('EXPENDITURE LOG'!$D$5:$D$504,'EXPENDITURE LOG'!$J$5:$J$504,$A117)</f>
        <v/>
      </c>
    </row>
    <row r="118">
      <c r="A118" s="35">
        <f>EXPENSES!L116</f>
        <v/>
      </c>
      <c r="B118" s="36">
        <f>EXPENSES!B116</f>
        <v/>
      </c>
      <c r="C118" s="31">
        <f>EXPENSES!E116</f>
        <v/>
      </c>
      <c r="D118" s="31">
        <f>IF(AND($F$4&gt;=1,$F$4&lt;=3),CHOOSE($F$4,'SUPPORT PLAN'!$M118,'SUPPORT PLAN'!$T118,'SUPPORT PLAN'!$AA118),0)</f>
        <v/>
      </c>
      <c r="E118" s="18">
        <f>SUMIFS('EXPENDITURE LOG'!$D$5:$D$504,'EXPENDITURE LOG'!$J$5:$J$504,$A118,'EXPENDITURE LOG'!$A$5:$A$504,"&gt;="&amp;$C$4,'EXPENDITURE LOG'!$A$5:$A$504,"&lt;"&amp;EDATE($C$4,1))</f>
        <v/>
      </c>
      <c r="F118" s="18">
        <f>SUMIFS('EXPENDITURE LOG'!$D$5:$D$504,'EXPENDITURE LOG'!$J$5:$J$504,$A118,'EXPENDITURE LOG'!$A$5:$A$504,"&gt;="&amp;$C$4,'EXPENDITURE LOG'!$A$5:$A$504,"&lt;"&amp;EDATE($C$4,1),'EXPENDITURE LOG'!$F$5:$F$504,"Church*")</f>
        <v/>
      </c>
      <c r="G118" s="18">
        <f>E118-C118</f>
        <v/>
      </c>
      <c r="H118" s="18">
        <f>SUMIFS('EXPENDITURE LOG'!$D$5:$D$504,'EXPENDITURE LOG'!$J$5:$J$504,$A118,'EXPENDITURE LOG'!$A$5:$A$504,"&gt;="&amp;'SUPPORT PLAN'!$C$4,'EXPENDITURE LOG'!$A$5:$A$504,"&lt;"&amp;EDATE($C$4,1))</f>
        <v/>
      </c>
      <c r="I118" s="18">
        <f>C118*MAX(0,$F$4)</f>
        <v/>
      </c>
      <c r="J118" s="18">
        <f>H118-I118</f>
        <v/>
      </c>
      <c r="K118" s="15">
        <f>SUMIFS('EXPENDITURE LOG'!$D$5:$D$504,'EXPENDITURE LOG'!$J$5:$J$504,$A118)</f>
        <v/>
      </c>
    </row>
    <row r="119">
      <c r="A119" s="35">
        <f>EXPENSES!L117</f>
        <v/>
      </c>
      <c r="B119" s="36">
        <f>EXPENSES!B117</f>
        <v/>
      </c>
      <c r="C119" s="31">
        <f>EXPENSES!E117</f>
        <v/>
      </c>
      <c r="D119" s="31">
        <f>IF(AND($F$4&gt;=1,$F$4&lt;=3),CHOOSE($F$4,'SUPPORT PLAN'!$M119,'SUPPORT PLAN'!$T119,'SUPPORT PLAN'!$AA119),0)</f>
        <v/>
      </c>
      <c r="E119" s="18">
        <f>SUMIFS('EXPENDITURE LOG'!$D$5:$D$504,'EXPENDITURE LOG'!$J$5:$J$504,$A119,'EXPENDITURE LOG'!$A$5:$A$504,"&gt;="&amp;$C$4,'EXPENDITURE LOG'!$A$5:$A$504,"&lt;"&amp;EDATE($C$4,1))</f>
        <v/>
      </c>
      <c r="F119" s="18">
        <f>SUMIFS('EXPENDITURE LOG'!$D$5:$D$504,'EXPENDITURE LOG'!$J$5:$J$504,$A119,'EXPENDITURE LOG'!$A$5:$A$504,"&gt;="&amp;$C$4,'EXPENDITURE LOG'!$A$5:$A$504,"&lt;"&amp;EDATE($C$4,1),'EXPENDITURE LOG'!$F$5:$F$504,"Church*")</f>
        <v/>
      </c>
      <c r="G119" s="18">
        <f>E119-C119</f>
        <v/>
      </c>
      <c r="H119" s="18">
        <f>SUMIFS('EXPENDITURE LOG'!$D$5:$D$504,'EXPENDITURE LOG'!$J$5:$J$504,$A119,'EXPENDITURE LOG'!$A$5:$A$504,"&gt;="&amp;'SUPPORT PLAN'!$C$4,'EXPENDITURE LOG'!$A$5:$A$504,"&lt;"&amp;EDATE($C$4,1))</f>
        <v/>
      </c>
      <c r="I119" s="18">
        <f>C119*MAX(0,$F$4)</f>
        <v/>
      </c>
      <c r="J119" s="18">
        <f>H119-I119</f>
        <v/>
      </c>
      <c r="K119" s="15">
        <f>SUMIFS('EXPENDITURE LOG'!$D$5:$D$504,'EXPENDITURE LOG'!$J$5:$J$504,$A119)</f>
        <v/>
      </c>
    </row>
    <row r="120">
      <c r="A120" s="35">
        <f>EXPENSES!L118</f>
        <v/>
      </c>
      <c r="B120" s="36">
        <f>EXPENSES!B118</f>
        <v/>
      </c>
      <c r="C120" s="31">
        <f>EXPENSES!E118</f>
        <v/>
      </c>
      <c r="D120" s="31">
        <f>IF(AND($F$4&gt;=1,$F$4&lt;=3),CHOOSE($F$4,'SUPPORT PLAN'!$M120,'SUPPORT PLAN'!$T120,'SUPPORT PLAN'!$AA120),0)</f>
        <v/>
      </c>
      <c r="E120" s="18">
        <f>SUMIFS('EXPENDITURE LOG'!$D$5:$D$504,'EXPENDITURE LOG'!$J$5:$J$504,$A120,'EXPENDITURE LOG'!$A$5:$A$504,"&gt;="&amp;$C$4,'EXPENDITURE LOG'!$A$5:$A$504,"&lt;"&amp;EDATE($C$4,1))</f>
        <v/>
      </c>
      <c r="F120" s="18">
        <f>SUMIFS('EXPENDITURE LOG'!$D$5:$D$504,'EXPENDITURE LOG'!$J$5:$J$504,$A120,'EXPENDITURE LOG'!$A$5:$A$504,"&gt;="&amp;$C$4,'EXPENDITURE LOG'!$A$5:$A$504,"&lt;"&amp;EDATE($C$4,1),'EXPENDITURE LOG'!$F$5:$F$504,"Church*")</f>
        <v/>
      </c>
      <c r="G120" s="18">
        <f>E120-C120</f>
        <v/>
      </c>
      <c r="H120" s="18">
        <f>SUMIFS('EXPENDITURE LOG'!$D$5:$D$504,'EXPENDITURE LOG'!$J$5:$J$504,$A120,'EXPENDITURE LOG'!$A$5:$A$504,"&gt;="&amp;'SUPPORT PLAN'!$C$4,'EXPENDITURE LOG'!$A$5:$A$504,"&lt;"&amp;EDATE($C$4,1))</f>
        <v/>
      </c>
      <c r="I120" s="18">
        <f>C120*MAX(0,$F$4)</f>
        <v/>
      </c>
      <c r="J120" s="18">
        <f>H120-I120</f>
        <v/>
      </c>
      <c r="K120" s="15">
        <f>SUMIFS('EXPENDITURE LOG'!$D$5:$D$504,'EXPENDITURE LOG'!$J$5:$J$504,$A120)</f>
        <v/>
      </c>
    </row>
    <row r="121">
      <c r="A121" s="35">
        <f>EXPENSES!L119</f>
        <v/>
      </c>
      <c r="B121" s="36">
        <f>EXPENSES!B119</f>
        <v/>
      </c>
      <c r="C121" s="31">
        <f>EXPENSES!E119</f>
        <v/>
      </c>
      <c r="D121" s="31">
        <f>IF(AND($F$4&gt;=1,$F$4&lt;=3),CHOOSE($F$4,'SUPPORT PLAN'!$M121,'SUPPORT PLAN'!$T121,'SUPPORT PLAN'!$AA121),0)</f>
        <v/>
      </c>
      <c r="E121" s="18">
        <f>SUMIFS('EXPENDITURE LOG'!$D$5:$D$504,'EXPENDITURE LOG'!$J$5:$J$504,$A121,'EXPENDITURE LOG'!$A$5:$A$504,"&gt;="&amp;$C$4,'EXPENDITURE LOG'!$A$5:$A$504,"&lt;"&amp;EDATE($C$4,1))</f>
        <v/>
      </c>
      <c r="F121" s="18">
        <f>SUMIFS('EXPENDITURE LOG'!$D$5:$D$504,'EXPENDITURE LOG'!$J$5:$J$504,$A121,'EXPENDITURE LOG'!$A$5:$A$504,"&gt;="&amp;$C$4,'EXPENDITURE LOG'!$A$5:$A$504,"&lt;"&amp;EDATE($C$4,1),'EXPENDITURE LOG'!$F$5:$F$504,"Church*")</f>
        <v/>
      </c>
      <c r="G121" s="18">
        <f>E121-C121</f>
        <v/>
      </c>
      <c r="H121" s="18">
        <f>SUMIFS('EXPENDITURE LOG'!$D$5:$D$504,'EXPENDITURE LOG'!$J$5:$J$504,$A121,'EXPENDITURE LOG'!$A$5:$A$504,"&gt;="&amp;'SUPPORT PLAN'!$C$4,'EXPENDITURE LOG'!$A$5:$A$504,"&lt;"&amp;EDATE($C$4,1))</f>
        <v/>
      </c>
      <c r="I121" s="18">
        <f>C121*MAX(0,$F$4)</f>
        <v/>
      </c>
      <c r="J121" s="18">
        <f>H121-I121</f>
        <v/>
      </c>
      <c r="K121" s="15">
        <f>SUMIFS('EXPENDITURE LOG'!$D$5:$D$504,'EXPENDITURE LOG'!$J$5:$J$504,$A121)</f>
        <v/>
      </c>
    </row>
    <row r="122">
      <c r="A122" s="23" t="n"/>
      <c r="B122" s="113" t="inlineStr">
        <is>
          <t>IRREGULAR / ANNUAL COSTS</t>
        </is>
      </c>
      <c r="C122" s="24">
        <f>SUM(C123:C128)</f>
        <v/>
      </c>
      <c r="D122" s="24">
        <f>SUM(D123:D128)</f>
        <v/>
      </c>
      <c r="E122" s="24">
        <f>SUM(E123:E128)</f>
        <v/>
      </c>
      <c r="F122" s="24">
        <f>SUM(F123:F128)</f>
        <v/>
      </c>
      <c r="G122" s="24">
        <f>SUM(G123:G128)</f>
        <v/>
      </c>
      <c r="H122" s="24">
        <f>SUM(H123:H128)</f>
        <v/>
      </c>
      <c r="I122" s="24">
        <f>SUM(I123:I128)</f>
        <v/>
      </c>
      <c r="J122" s="24">
        <f>SUM(J123:J128)</f>
        <v/>
      </c>
      <c r="K122" s="24">
        <f>SUM(K123:K128)</f>
        <v/>
      </c>
    </row>
    <row r="123">
      <c r="A123" s="35">
        <f>EXPENSES!L121</f>
        <v/>
      </c>
      <c r="B123" s="36">
        <f>EXPENSES!B121</f>
        <v/>
      </c>
      <c r="C123" s="31">
        <f>EXPENSES!E121</f>
        <v/>
      </c>
      <c r="D123" s="31">
        <f>IF(AND($F$4&gt;=1,$F$4&lt;=3),CHOOSE($F$4,'SUPPORT PLAN'!$M123,'SUPPORT PLAN'!$T123,'SUPPORT PLAN'!$AA123),0)</f>
        <v/>
      </c>
      <c r="E123" s="18">
        <f>SUMIFS('EXPENDITURE LOG'!$D$5:$D$504,'EXPENDITURE LOG'!$J$5:$J$504,$A123,'EXPENDITURE LOG'!$A$5:$A$504,"&gt;="&amp;$C$4,'EXPENDITURE LOG'!$A$5:$A$504,"&lt;"&amp;EDATE($C$4,1))</f>
        <v/>
      </c>
      <c r="F123" s="18">
        <f>SUMIFS('EXPENDITURE LOG'!$D$5:$D$504,'EXPENDITURE LOG'!$J$5:$J$504,$A123,'EXPENDITURE LOG'!$A$5:$A$504,"&gt;="&amp;$C$4,'EXPENDITURE LOG'!$A$5:$A$504,"&lt;"&amp;EDATE($C$4,1),'EXPENDITURE LOG'!$F$5:$F$504,"Church*")</f>
        <v/>
      </c>
      <c r="G123" s="18">
        <f>E123-C123</f>
        <v/>
      </c>
      <c r="H123" s="18">
        <f>SUMIFS('EXPENDITURE LOG'!$D$5:$D$504,'EXPENDITURE LOG'!$J$5:$J$504,$A123,'EXPENDITURE LOG'!$A$5:$A$504,"&gt;="&amp;'SUPPORT PLAN'!$C$4,'EXPENDITURE LOG'!$A$5:$A$504,"&lt;"&amp;EDATE($C$4,1))</f>
        <v/>
      </c>
      <c r="I123" s="18">
        <f>C123*MAX(0,$F$4)</f>
        <v/>
      </c>
      <c r="J123" s="18">
        <f>H123-I123</f>
        <v/>
      </c>
      <c r="K123" s="15">
        <f>SUMIFS('EXPENDITURE LOG'!$D$5:$D$504,'EXPENDITURE LOG'!$J$5:$J$504,$A123)</f>
        <v/>
      </c>
    </row>
    <row r="124">
      <c r="A124" s="35">
        <f>EXPENSES!L122</f>
        <v/>
      </c>
      <c r="B124" s="36">
        <f>EXPENSES!B122</f>
        <v/>
      </c>
      <c r="C124" s="31">
        <f>EXPENSES!E122</f>
        <v/>
      </c>
      <c r="D124" s="31">
        <f>IF(AND($F$4&gt;=1,$F$4&lt;=3),CHOOSE($F$4,'SUPPORT PLAN'!$M124,'SUPPORT PLAN'!$T124,'SUPPORT PLAN'!$AA124),0)</f>
        <v/>
      </c>
      <c r="E124" s="18">
        <f>SUMIFS('EXPENDITURE LOG'!$D$5:$D$504,'EXPENDITURE LOG'!$J$5:$J$504,$A124,'EXPENDITURE LOG'!$A$5:$A$504,"&gt;="&amp;$C$4,'EXPENDITURE LOG'!$A$5:$A$504,"&lt;"&amp;EDATE($C$4,1))</f>
        <v/>
      </c>
      <c r="F124" s="18">
        <f>SUMIFS('EXPENDITURE LOG'!$D$5:$D$504,'EXPENDITURE LOG'!$J$5:$J$504,$A124,'EXPENDITURE LOG'!$A$5:$A$504,"&gt;="&amp;$C$4,'EXPENDITURE LOG'!$A$5:$A$504,"&lt;"&amp;EDATE($C$4,1),'EXPENDITURE LOG'!$F$5:$F$504,"Church*")</f>
        <v/>
      </c>
      <c r="G124" s="18">
        <f>E124-C124</f>
        <v/>
      </c>
      <c r="H124" s="18">
        <f>SUMIFS('EXPENDITURE LOG'!$D$5:$D$504,'EXPENDITURE LOG'!$J$5:$J$504,$A124,'EXPENDITURE LOG'!$A$5:$A$504,"&gt;="&amp;'SUPPORT PLAN'!$C$4,'EXPENDITURE LOG'!$A$5:$A$504,"&lt;"&amp;EDATE($C$4,1))</f>
        <v/>
      </c>
      <c r="I124" s="18">
        <f>C124*MAX(0,$F$4)</f>
        <v/>
      </c>
      <c r="J124" s="18">
        <f>H124-I124</f>
        <v/>
      </c>
      <c r="K124" s="15">
        <f>SUMIFS('EXPENDITURE LOG'!$D$5:$D$504,'EXPENDITURE LOG'!$J$5:$J$504,$A124)</f>
        <v/>
      </c>
    </row>
    <row r="125">
      <c r="A125" s="35">
        <f>EXPENSES!L123</f>
        <v/>
      </c>
      <c r="B125" s="36">
        <f>EXPENSES!B123</f>
        <v/>
      </c>
      <c r="C125" s="31">
        <f>EXPENSES!E123</f>
        <v/>
      </c>
      <c r="D125" s="31">
        <f>IF(AND($F$4&gt;=1,$F$4&lt;=3),CHOOSE($F$4,'SUPPORT PLAN'!$M125,'SUPPORT PLAN'!$T125,'SUPPORT PLAN'!$AA125),0)</f>
        <v/>
      </c>
      <c r="E125" s="18">
        <f>SUMIFS('EXPENDITURE LOG'!$D$5:$D$504,'EXPENDITURE LOG'!$J$5:$J$504,$A125,'EXPENDITURE LOG'!$A$5:$A$504,"&gt;="&amp;$C$4,'EXPENDITURE LOG'!$A$5:$A$504,"&lt;"&amp;EDATE($C$4,1))</f>
        <v/>
      </c>
      <c r="F125" s="18">
        <f>SUMIFS('EXPENDITURE LOG'!$D$5:$D$504,'EXPENDITURE LOG'!$J$5:$J$504,$A125,'EXPENDITURE LOG'!$A$5:$A$504,"&gt;="&amp;$C$4,'EXPENDITURE LOG'!$A$5:$A$504,"&lt;"&amp;EDATE($C$4,1),'EXPENDITURE LOG'!$F$5:$F$504,"Church*")</f>
        <v/>
      </c>
      <c r="G125" s="18">
        <f>E125-C125</f>
        <v/>
      </c>
      <c r="H125" s="18">
        <f>SUMIFS('EXPENDITURE LOG'!$D$5:$D$504,'EXPENDITURE LOG'!$J$5:$J$504,$A125,'EXPENDITURE LOG'!$A$5:$A$504,"&gt;="&amp;'SUPPORT PLAN'!$C$4,'EXPENDITURE LOG'!$A$5:$A$504,"&lt;"&amp;EDATE($C$4,1))</f>
        <v/>
      </c>
      <c r="I125" s="18">
        <f>C125*MAX(0,$F$4)</f>
        <v/>
      </c>
      <c r="J125" s="18">
        <f>H125-I125</f>
        <v/>
      </c>
      <c r="K125" s="15">
        <f>SUMIFS('EXPENDITURE LOG'!$D$5:$D$504,'EXPENDITURE LOG'!$J$5:$J$504,$A125)</f>
        <v/>
      </c>
    </row>
    <row r="126">
      <c r="A126" s="35">
        <f>EXPENSES!L124</f>
        <v/>
      </c>
      <c r="B126" s="36">
        <f>EXPENSES!B124</f>
        <v/>
      </c>
      <c r="C126" s="31">
        <f>EXPENSES!E124</f>
        <v/>
      </c>
      <c r="D126" s="31">
        <f>IF(AND($F$4&gt;=1,$F$4&lt;=3),CHOOSE($F$4,'SUPPORT PLAN'!$M126,'SUPPORT PLAN'!$T126,'SUPPORT PLAN'!$AA126),0)</f>
        <v/>
      </c>
      <c r="E126" s="18">
        <f>SUMIFS('EXPENDITURE LOG'!$D$5:$D$504,'EXPENDITURE LOG'!$J$5:$J$504,$A126,'EXPENDITURE LOG'!$A$5:$A$504,"&gt;="&amp;$C$4,'EXPENDITURE LOG'!$A$5:$A$504,"&lt;"&amp;EDATE($C$4,1))</f>
        <v/>
      </c>
      <c r="F126" s="18">
        <f>SUMIFS('EXPENDITURE LOG'!$D$5:$D$504,'EXPENDITURE LOG'!$J$5:$J$504,$A126,'EXPENDITURE LOG'!$A$5:$A$504,"&gt;="&amp;$C$4,'EXPENDITURE LOG'!$A$5:$A$504,"&lt;"&amp;EDATE($C$4,1),'EXPENDITURE LOG'!$F$5:$F$504,"Church*")</f>
        <v/>
      </c>
      <c r="G126" s="18">
        <f>E126-C126</f>
        <v/>
      </c>
      <c r="H126" s="18">
        <f>SUMIFS('EXPENDITURE LOG'!$D$5:$D$504,'EXPENDITURE LOG'!$J$5:$J$504,$A126,'EXPENDITURE LOG'!$A$5:$A$504,"&gt;="&amp;'SUPPORT PLAN'!$C$4,'EXPENDITURE LOG'!$A$5:$A$504,"&lt;"&amp;EDATE($C$4,1))</f>
        <v/>
      </c>
      <c r="I126" s="18">
        <f>C126*MAX(0,$F$4)</f>
        <v/>
      </c>
      <c r="J126" s="18">
        <f>H126-I126</f>
        <v/>
      </c>
      <c r="K126" s="15">
        <f>SUMIFS('EXPENDITURE LOG'!$D$5:$D$504,'EXPENDITURE LOG'!$J$5:$J$504,$A126)</f>
        <v/>
      </c>
    </row>
    <row r="127">
      <c r="A127" s="35">
        <f>EXPENSES!L125</f>
        <v/>
      </c>
      <c r="B127" s="36">
        <f>EXPENSES!B125</f>
        <v/>
      </c>
      <c r="C127" s="31">
        <f>EXPENSES!E125</f>
        <v/>
      </c>
      <c r="D127" s="31">
        <f>IF(AND($F$4&gt;=1,$F$4&lt;=3),CHOOSE($F$4,'SUPPORT PLAN'!$M127,'SUPPORT PLAN'!$T127,'SUPPORT PLAN'!$AA127),0)</f>
        <v/>
      </c>
      <c r="E127" s="18">
        <f>SUMIFS('EXPENDITURE LOG'!$D$5:$D$504,'EXPENDITURE LOG'!$J$5:$J$504,$A127,'EXPENDITURE LOG'!$A$5:$A$504,"&gt;="&amp;$C$4,'EXPENDITURE LOG'!$A$5:$A$504,"&lt;"&amp;EDATE($C$4,1))</f>
        <v/>
      </c>
      <c r="F127" s="18">
        <f>SUMIFS('EXPENDITURE LOG'!$D$5:$D$504,'EXPENDITURE LOG'!$J$5:$J$504,$A127,'EXPENDITURE LOG'!$A$5:$A$504,"&gt;="&amp;$C$4,'EXPENDITURE LOG'!$A$5:$A$504,"&lt;"&amp;EDATE($C$4,1),'EXPENDITURE LOG'!$F$5:$F$504,"Church*")</f>
        <v/>
      </c>
      <c r="G127" s="18">
        <f>E127-C127</f>
        <v/>
      </c>
      <c r="H127" s="18">
        <f>SUMIFS('EXPENDITURE LOG'!$D$5:$D$504,'EXPENDITURE LOG'!$J$5:$J$504,$A127,'EXPENDITURE LOG'!$A$5:$A$504,"&gt;="&amp;'SUPPORT PLAN'!$C$4,'EXPENDITURE LOG'!$A$5:$A$504,"&lt;"&amp;EDATE($C$4,1))</f>
        <v/>
      </c>
      <c r="I127" s="18">
        <f>C127*MAX(0,$F$4)</f>
        <v/>
      </c>
      <c r="J127" s="18">
        <f>H127-I127</f>
        <v/>
      </c>
      <c r="K127" s="15">
        <f>SUMIFS('EXPENDITURE LOG'!$D$5:$D$504,'EXPENDITURE LOG'!$J$5:$J$504,$A127)</f>
        <v/>
      </c>
    </row>
    <row r="128">
      <c r="A128" s="35">
        <f>EXPENSES!L126</f>
        <v/>
      </c>
      <c r="B128" s="36">
        <f>EXPENSES!B126</f>
        <v/>
      </c>
      <c r="C128" s="31">
        <f>EXPENSES!E126</f>
        <v/>
      </c>
      <c r="D128" s="31">
        <f>IF(AND($F$4&gt;=1,$F$4&lt;=3),CHOOSE($F$4,'SUPPORT PLAN'!$M128,'SUPPORT PLAN'!$T128,'SUPPORT PLAN'!$AA128),0)</f>
        <v/>
      </c>
      <c r="E128" s="18">
        <f>SUMIFS('EXPENDITURE LOG'!$D$5:$D$504,'EXPENDITURE LOG'!$J$5:$J$504,$A128,'EXPENDITURE LOG'!$A$5:$A$504,"&gt;="&amp;$C$4,'EXPENDITURE LOG'!$A$5:$A$504,"&lt;"&amp;EDATE($C$4,1))</f>
        <v/>
      </c>
      <c r="F128" s="18">
        <f>SUMIFS('EXPENDITURE LOG'!$D$5:$D$504,'EXPENDITURE LOG'!$J$5:$J$504,$A128,'EXPENDITURE LOG'!$A$5:$A$504,"&gt;="&amp;$C$4,'EXPENDITURE LOG'!$A$5:$A$504,"&lt;"&amp;EDATE($C$4,1),'EXPENDITURE LOG'!$F$5:$F$504,"Church*")</f>
        <v/>
      </c>
      <c r="G128" s="18">
        <f>E128-C128</f>
        <v/>
      </c>
      <c r="H128" s="18">
        <f>SUMIFS('EXPENDITURE LOG'!$D$5:$D$504,'EXPENDITURE LOG'!$J$5:$J$504,$A128,'EXPENDITURE LOG'!$A$5:$A$504,"&gt;="&amp;'SUPPORT PLAN'!$C$4,'EXPENDITURE LOG'!$A$5:$A$504,"&lt;"&amp;EDATE($C$4,1))</f>
        <v/>
      </c>
      <c r="I128" s="18">
        <f>C128*MAX(0,$F$4)</f>
        <v/>
      </c>
      <c r="J128" s="18">
        <f>H128-I128</f>
        <v/>
      </c>
      <c r="K128" s="15">
        <f>SUMIFS('EXPENDITURE LOG'!$D$5:$D$504,'EXPENDITURE LOG'!$J$5:$J$504,$A128)</f>
        <v/>
      </c>
    </row>
    <row r="130">
      <c r="A130" s="136" t="inlineStr">
        <is>
          <t>TOTAL — ALL EXPENSE LINES</t>
        </is>
      </c>
      <c r="C130" s="15">
        <f>SUMIFS(C7:C128,$A$7:$A$128,"&lt;&gt;")</f>
        <v/>
      </c>
      <c r="D130" s="15">
        <f>SUMIFS(D7:D128,$A$7:$A$128,"&lt;&gt;")</f>
        <v/>
      </c>
      <c r="E130" s="15">
        <f>SUMIFS(E7:E128,$A$7:$A$128,"&lt;&gt;")</f>
        <v/>
      </c>
      <c r="F130" s="15">
        <f>SUMIFS(F7:F128,$A$7:$A$128,"&lt;&gt;")</f>
        <v/>
      </c>
      <c r="G130" s="15">
        <f>SUMIFS(G7:G128,$A$7:$A$128,"&lt;&gt;")</f>
        <v/>
      </c>
      <c r="H130" s="15">
        <f>SUMIFS(H7:H128,$A$7:$A$128,"&lt;&gt;")</f>
        <v/>
      </c>
      <c r="I130" s="15">
        <f>SUMIFS(I7:I128,$A$7:$A$128,"&lt;&gt;")</f>
        <v/>
      </c>
      <c r="J130" s="15">
        <f>SUMIFS(J7:J128,$A$7:$A$128,"&lt;&gt;")</f>
        <v/>
      </c>
      <c r="K130" s="15">
        <f>SUMIFS(K7:K128,$A$7:$A$128,"&lt;&gt;")</f>
        <v/>
      </c>
    </row>
    <row r="131">
      <c r="A131" s="137" t="inlineStr">
        <is>
          <t>Uncoded log entries (not in totals above)</t>
        </is>
      </c>
      <c r="E131" s="18">
        <f>SUMIFS('EXPENDITURE LOG'!$D$5:$D$504,'EXPENDITURE LOG'!$A$5:$A$504,"&gt;="&amp;$C$4,'EXPENDITURE LOG'!$A$5:$A$504,"&lt;"&amp;EDATE($C$4,1))-E130</f>
        <v/>
      </c>
      <c r="K131" s="18">
        <f>SUM('EXPENDITURE LOG'!$D$5:$D$504)-K130</f>
        <v/>
      </c>
    </row>
    <row r="133">
      <c r="A133" s="11" t="inlineStr">
        <is>
          <t>Over / (Under): positive (red) = spent more than budgeted; negative (green) = under budget.</t>
        </is>
      </c>
    </row>
    <row r="134">
      <c r="A134" s="11" t="inlineStr">
        <is>
          <t>Cumulative columns count log entries dated from the plan start month through the end of the selected month; Cumulative Budget = Monthly Budget × month # of plan.</t>
        </is>
      </c>
    </row>
    <row r="135">
      <c r="A135" s="11" t="inlineStr">
        <is>
          <t>Church-Paid counts log entries where Paid By is 'Church assistance (fast offering)'.</t>
        </is>
      </c>
    </row>
  </sheetData>
  <mergeCells count="5">
    <mergeCell ref="A4:B4"/>
    <mergeCell ref="A130:B130"/>
    <mergeCell ref="A2:K2"/>
    <mergeCell ref="A1:K1"/>
    <mergeCell ref="A131:B131"/>
  </mergeCells>
  <conditionalFormatting sqref="G7:G130">
    <cfRule type="cellIs" priority="2" operator="greaterThan" dxfId="1">
      <formula>0.005</formula>
    </cfRule>
    <cfRule type="cellIs" priority="3" operator="lessThan" dxfId="0">
      <formula>-0.005</formula>
    </cfRule>
  </conditionalFormatting>
  <conditionalFormatting sqref="J7:J130">
    <cfRule type="cellIs" priority="4" operator="greaterThan" dxfId="1">
      <formula>0.005</formula>
    </cfRule>
    <cfRule type="cellIs" priority="5" operator="lessThan" dxfId="0">
      <formula>-0.005</formula>
    </cfRule>
  </conditionalFormatting>
  <dataValidations count="1">
    <dataValidation sqref="C4" showDropDown="0" showInputMessage="0" showErrorMessage="0" allowBlank="1" type="list">
      <formula1>LISTS!$L$2:$L$25</formula1>
    </dataValidation>
  </dataValidations>
  <pageMargins left="0.75" right="0.75" top="1" bottom="1" header="0.511811023622047" footer="0.511811023622047"/>
  <pageSetup orientation="portrait" fitToHeight="0" horizontalDpi="300" verticalDpi="300"/>
</worksheet>
</file>

<file path=xl/worksheets/sheet9.xml><?xml version="1.0" encoding="utf-8"?>
<worksheet xmlns="http://schemas.openxmlformats.org/spreadsheetml/2006/main">
  <sheetPr>
    <tabColor theme="9"/>
    <outlinePr summaryBelow="1" summaryRight="1"/>
    <pageSetUpPr/>
  </sheetPr>
  <dimension ref="A1:A24"/>
  <sheetViews>
    <sheetView zoomScale="140" zoomScaleNormal="140" workbookViewId="0">
      <selection activeCell="A1" sqref="A1"/>
    </sheetView>
  </sheetViews>
  <sheetFormatPr baseColWidth="10" defaultColWidth="11.5" defaultRowHeight="15"/>
  <cols>
    <col width="104.6640625" customWidth="1" style="45" min="1" max="1"/>
  </cols>
  <sheetData>
    <row r="1">
      <c r="A1" s="13" t="inlineStr">
        <is>
          <t xml:space="preserve">DISCUSSION NOTES </t>
        </is>
      </c>
    </row>
    <row r="2"/>
    <row r="3"/>
    <row r="4"/>
    <row r="5"/>
    <row r="6"/>
    <row r="7"/>
    <row r="8"/>
    <row r="9"/>
    <row r="10"/>
    <row r="11"/>
    <row r="12"/>
    <row r="13">
      <c r="A13" s="13" t="inlineStr">
        <is>
          <t>ACTION ITEMS</t>
        </is>
      </c>
    </row>
    <row r="14"/>
    <row r="15"/>
    <row r="16"/>
    <row r="17"/>
    <row r="18"/>
    <row r="19"/>
    <row r="20"/>
    <row r="21"/>
    <row r="22"/>
    <row r="23"/>
    <row r="24">
      <c r="A24" s="13" t="inlineStr">
        <is>
          <t>CASH ON HAND/SAVINGS</t>
        </is>
      </c>
    </row>
  </sheetData>
  <pageMargins left="0.7" right="0.7" top="0.75" bottom="0.75" header="0.3" footer="0.3"/>
</worksheet>
</file>

<file path=xl/worksheets/sheet10.xml><?xml version="1.0" encoding="utf-8"?>
<worksheet xmlns="http://schemas.openxmlformats.org/spreadsheetml/2006/main">
  <sheetPr>
    <tabColor rgb="FFC00000"/>
    <outlinePr summaryBelow="1" summaryRight="1"/>
    <pageSetUpPr fitToPage="1"/>
  </sheetPr>
  <dimension ref="A1:T106"/>
  <sheetViews>
    <sheetView showGridLines="0" zoomScaleNormal="100" workbookViewId="0">
      <selection activeCell="A1" sqref="A1"/>
    </sheetView>
  </sheetViews>
  <sheetFormatPr baseColWidth="10" defaultColWidth="8.6640625" defaultRowHeight="15"/>
  <cols>
    <col width="14" customWidth="1" style="107" min="1" max="2"/>
    <col width="3" customWidth="1" style="107" min="3" max="3"/>
    <col width="14" customWidth="1" style="107" min="4" max="4"/>
    <col width="3" customWidth="1" style="107" min="5" max="5"/>
    <col width="22" customWidth="1" style="107" min="6" max="6"/>
    <col width="3" customWidth="1" style="107" min="7" max="7"/>
    <col width="38" customWidth="1" style="107" min="8" max="8"/>
    <col width="3" customWidth="1" style="107" min="9" max="9"/>
    <col width="40" customWidth="1" style="107" min="10" max="10"/>
    <col width="3" customWidth="1" style="107" min="11" max="11"/>
    <col width="12" customWidth="1" style="107" min="12" max="12"/>
    <col width="3" customWidth="1" style="107" min="13" max="13"/>
    <col width="30" customWidth="1" style="107" min="14" max="14"/>
    <col width="3" customWidth="1" style="107" min="15" max="15"/>
    <col width="34" customWidth="1" style="107" min="16" max="16"/>
    <col width="3" customWidth="1" style="107" min="17" max="17"/>
    <col width="18" customWidth="1" style="107" min="18" max="18"/>
    <col width="3" customWidth="1" style="107" min="19" max="19"/>
    <col width="26" customWidth="1" style="107" min="20" max="20"/>
  </cols>
  <sheetData>
    <row r="1">
      <c r="A1" s="2" t="inlineStr">
        <is>
          <t>Frequency</t>
        </is>
      </c>
      <c r="B1" s="2" t="inlineStr">
        <is>
          <t>Monthly factor</t>
        </is>
      </c>
      <c r="D1" s="2" t="inlineStr">
        <is>
          <t>Expense type</t>
        </is>
      </c>
      <c r="F1" s="2" t="inlineStr">
        <is>
          <t>Form line (expenses)</t>
        </is>
      </c>
      <c r="H1" s="2" t="inlineStr">
        <is>
          <t>Form line (income)</t>
        </is>
      </c>
      <c r="J1" s="2" t="inlineStr">
        <is>
          <t>Expense line (for log)</t>
        </is>
      </c>
      <c r="L1" s="2" t="inlineStr">
        <is>
          <t>Months</t>
        </is>
      </c>
      <c r="N1" s="2" t="inlineStr">
        <is>
          <t>Paid by</t>
        </is>
      </c>
      <c r="P1" s="2" t="inlineStr">
        <is>
          <t>Payment method</t>
        </is>
      </c>
      <c r="T1" s="2" t="inlineStr">
        <is>
          <t>Access (liquid funds)</t>
        </is>
      </c>
    </row>
    <row r="2">
      <c r="A2" t="inlineStr">
        <is>
          <t>Weekly</t>
        </is>
      </c>
      <c r="B2" s="43" t="n">
        <v>4.333333</v>
      </c>
      <c r="D2" t="inlineStr">
        <is>
          <t>Essential</t>
        </is>
      </c>
      <c r="F2" t="inlineStr">
        <is>
          <t>Tithes, offerings</t>
        </is>
      </c>
      <c r="H2" t="inlineStr">
        <is>
          <t>Income from all household members</t>
        </is>
      </c>
      <c r="J2">
        <f>EXPENSES!L6&amp;" - "&amp;EXPENSES!B6</f>
        <v/>
      </c>
      <c r="L2" s="44">
        <f>EDATE('SUPPORT PLAN'!$C$4,0)</f>
        <v/>
      </c>
      <c r="N2" t="inlineStr">
        <is>
          <t>Member</t>
        </is>
      </c>
      <c r="P2" t="inlineStr">
        <is>
          <t>Cash</t>
        </is>
      </c>
      <c r="T2" t="inlineStr">
        <is>
          <t>Immediate</t>
        </is>
      </c>
    </row>
    <row r="3">
      <c r="A3" t="inlineStr">
        <is>
          <t>Biweekly</t>
        </is>
      </c>
      <c r="B3" s="43" t="n">
        <v>2.166667</v>
      </c>
      <c r="D3" t="inlineStr">
        <is>
          <t>Important</t>
        </is>
      </c>
      <c r="F3" t="inlineStr">
        <is>
          <t>Food</t>
        </is>
      </c>
      <c r="H3" t="inlineStr">
        <is>
          <t>Other financial sources (family, others)</t>
        </is>
      </c>
      <c r="J3">
        <f>EXPENSES!L7&amp;" - "&amp;EXPENSES!B7</f>
        <v/>
      </c>
      <c r="L3" s="44">
        <f>EDATE('SUPPORT PLAN'!$C$4,1)</f>
        <v/>
      </c>
      <c r="N3" t="inlineStr">
        <is>
          <t>Church assistance (fast offering)</t>
        </is>
      </c>
      <c r="P3" t="inlineStr">
        <is>
          <t>Debit card</t>
        </is>
      </c>
      <c r="T3" t="inlineStr">
        <is>
          <t>Within 30 days</t>
        </is>
      </c>
    </row>
    <row r="4">
      <c r="A4" t="inlineStr">
        <is>
          <t>Semi-monthly</t>
        </is>
      </c>
      <c r="B4" s="43" t="n">
        <v>2</v>
      </c>
      <c r="D4" t="inlineStr">
        <is>
          <t>Discretionary</t>
        </is>
      </c>
      <c r="F4" t="inlineStr">
        <is>
          <t>Housing</t>
        </is>
      </c>
      <c r="H4" t="inlineStr">
        <is>
          <t>Government assistance</t>
        </is>
      </c>
      <c r="J4">
        <f>EXPENSES!L8&amp;" - "&amp;EXPENSES!B8</f>
        <v/>
      </c>
      <c r="L4" s="44">
        <f>EDATE('SUPPORT PLAN'!$C$4,2)</f>
        <v/>
      </c>
      <c r="N4" t="inlineStr">
        <is>
          <t>Family / friends</t>
        </is>
      </c>
      <c r="P4" t="inlineStr">
        <is>
          <t>Credit card</t>
        </is>
      </c>
      <c r="T4" t="inlineStr">
        <is>
          <t>Penalty / tax to withdraw</t>
        </is>
      </c>
    </row>
    <row r="5">
      <c r="A5" t="inlineStr">
        <is>
          <t>Monthly</t>
        </is>
      </c>
      <c r="B5" s="43" t="n">
        <v>1</v>
      </c>
      <c r="F5" t="inlineStr">
        <is>
          <t>Water</t>
        </is>
      </c>
      <c r="J5">
        <f>EXPENSES!L9&amp;" - "&amp;EXPENSES!B9</f>
        <v/>
      </c>
      <c r="L5" s="44">
        <f>EDATE('SUPPORT PLAN'!$C$4,3)</f>
        <v/>
      </c>
      <c r="N5" t="inlineStr">
        <is>
          <t>Government program</t>
        </is>
      </c>
      <c r="P5" t="inlineStr">
        <is>
          <t>Check</t>
        </is>
      </c>
      <c r="T5" t="inlineStr">
        <is>
          <t>Not accessible</t>
        </is>
      </c>
    </row>
    <row r="6">
      <c r="A6" t="inlineStr">
        <is>
          <t>Quarterly</t>
        </is>
      </c>
      <c r="B6" s="43" t="n">
        <v>0.333333</v>
      </c>
      <c r="F6" t="inlineStr">
        <is>
          <t>Medical</t>
        </is>
      </c>
      <c r="J6">
        <f>EXPENSES!L10&amp;" - "&amp;EXPENSES!B10</f>
        <v/>
      </c>
      <c r="L6" s="44">
        <f>EDATE('SUPPORT PLAN'!$C$4,4)</f>
        <v/>
      </c>
      <c r="N6" t="inlineStr">
        <is>
          <t>Other</t>
        </is>
      </c>
      <c r="P6" t="inlineStr">
        <is>
          <t>Bishop's order / direct vendor payment</t>
        </is>
      </c>
    </row>
    <row r="7">
      <c r="A7" t="inlineStr">
        <is>
          <t>Semi-annual</t>
        </is>
      </c>
      <c r="B7" s="43" t="n">
        <v>0.166667</v>
      </c>
      <c r="F7" t="inlineStr">
        <is>
          <t>Transportation</t>
        </is>
      </c>
      <c r="J7">
        <f>EXPENSES!L12&amp;" - "&amp;EXPENSES!B12</f>
        <v/>
      </c>
      <c r="L7" s="44">
        <f>EDATE('SUPPORT PLAN'!$C$4,5)</f>
        <v/>
      </c>
      <c r="P7" t="inlineStr">
        <is>
          <t>Electronic transfer</t>
        </is>
      </c>
    </row>
    <row r="8">
      <c r="A8" t="inlineStr">
        <is>
          <t>Annual</t>
        </is>
      </c>
      <c r="B8" s="43" t="n">
        <v>0.083333</v>
      </c>
      <c r="F8" t="inlineStr">
        <is>
          <t>Education</t>
        </is>
      </c>
      <c r="J8">
        <f>EXPENSES!L13&amp;" - "&amp;EXPENSES!B13</f>
        <v/>
      </c>
      <c r="L8" s="44">
        <f>EDATE('SUPPORT PLAN'!$C$4,6)</f>
        <v/>
      </c>
      <c r="P8" t="inlineStr">
        <is>
          <t>Other</t>
        </is>
      </c>
    </row>
    <row r="9">
      <c r="F9" t="inlineStr">
        <is>
          <t>Debt payments</t>
        </is>
      </c>
      <c r="J9">
        <f>EXPENSES!L14&amp;" - "&amp;EXPENSES!B14</f>
        <v/>
      </c>
      <c r="L9" s="44">
        <f>EDATE('SUPPORT PLAN'!$C$4,7)</f>
        <v/>
      </c>
    </row>
    <row r="10">
      <c r="A10" s="11" t="inlineStr">
        <is>
          <t>Factors: weekly = 52/12, biweekly = 26/12, annual = 1/12 (standard conversions).</t>
        </is>
      </c>
      <c r="F10" t="inlineStr">
        <is>
          <t>Clothing</t>
        </is>
      </c>
      <c r="J10">
        <f>EXPENSES!L15&amp;" - "&amp;EXPENSES!B15</f>
        <v/>
      </c>
      <c r="L10" s="44">
        <f>EDATE('SUPPORT PLAN'!$C$4,8)</f>
        <v/>
      </c>
    </row>
    <row r="11">
      <c r="F11" t="inlineStr">
        <is>
          <t>Electricity, fuel</t>
        </is>
      </c>
      <c r="J11">
        <f>EXPENSES!L16&amp;" - "&amp;EXPENSES!B16</f>
        <v/>
      </c>
      <c r="L11" s="44">
        <f>EDATE('SUPPORT PLAN'!$C$4,9)</f>
        <v/>
      </c>
    </row>
    <row r="12">
      <c r="F12" t="inlineStr">
        <is>
          <t>Other</t>
        </is>
      </c>
      <c r="J12">
        <f>EXPENSES!L17&amp;" - "&amp;EXPENSES!B17</f>
        <v/>
      </c>
      <c r="L12" s="44">
        <f>EDATE('SUPPORT PLAN'!$C$4,10)</f>
        <v/>
      </c>
    </row>
    <row r="13">
      <c r="J13">
        <f>EXPENSES!L18&amp;" - "&amp;EXPENSES!B18</f>
        <v/>
      </c>
      <c r="L13" s="44">
        <f>EDATE('SUPPORT PLAN'!$C$4,11)</f>
        <v/>
      </c>
    </row>
    <row r="14">
      <c r="J14">
        <f>EXPENSES!L19&amp;" - "&amp;EXPENSES!B19</f>
        <v/>
      </c>
      <c r="L14" s="44">
        <f>EDATE('SUPPORT PLAN'!$C$4,12)</f>
        <v/>
      </c>
    </row>
    <row r="15">
      <c r="J15">
        <f>EXPENSES!L21&amp;" - "&amp;EXPENSES!B21</f>
        <v/>
      </c>
      <c r="L15" s="44">
        <f>EDATE('SUPPORT PLAN'!$C$4,13)</f>
        <v/>
      </c>
    </row>
    <row r="16">
      <c r="J16">
        <f>EXPENSES!L22&amp;" - "&amp;EXPENSES!B22</f>
        <v/>
      </c>
      <c r="L16" s="44">
        <f>EDATE('SUPPORT PLAN'!$C$4,14)</f>
        <v/>
      </c>
    </row>
    <row r="17">
      <c r="J17">
        <f>EXPENSES!L23&amp;" - "&amp;EXPENSES!B23</f>
        <v/>
      </c>
      <c r="L17" s="44">
        <f>EDATE('SUPPORT PLAN'!$C$4,15)</f>
        <v/>
      </c>
    </row>
    <row r="18">
      <c r="J18">
        <f>EXPENSES!L24&amp;" - "&amp;EXPENSES!B24</f>
        <v/>
      </c>
      <c r="L18" s="44">
        <f>EDATE('SUPPORT PLAN'!$C$4,16)</f>
        <v/>
      </c>
    </row>
    <row r="19">
      <c r="J19">
        <f>EXPENSES!L25&amp;" - "&amp;EXPENSES!B25</f>
        <v/>
      </c>
      <c r="L19" s="44">
        <f>EDATE('SUPPORT PLAN'!$C$4,17)</f>
        <v/>
      </c>
    </row>
    <row r="20">
      <c r="J20">
        <f>EXPENSES!L26&amp;" - "&amp;EXPENSES!B26</f>
        <v/>
      </c>
      <c r="L20" s="44">
        <f>EDATE('SUPPORT PLAN'!$C$4,18)</f>
        <v/>
      </c>
    </row>
    <row r="21">
      <c r="J21">
        <f>EXPENSES!L27&amp;" - "&amp;EXPENSES!B27</f>
        <v/>
      </c>
      <c r="L21" s="44">
        <f>EDATE('SUPPORT PLAN'!$C$4,19)</f>
        <v/>
      </c>
    </row>
    <row r="22">
      <c r="J22">
        <f>EXPENSES!L28&amp;" - "&amp;EXPENSES!B28</f>
        <v/>
      </c>
      <c r="L22" s="44">
        <f>EDATE('SUPPORT PLAN'!$C$4,20)</f>
        <v/>
      </c>
    </row>
    <row r="23">
      <c r="J23">
        <f>EXPENSES!L29&amp;" - "&amp;EXPENSES!B29</f>
        <v/>
      </c>
      <c r="L23" s="44">
        <f>EDATE('SUPPORT PLAN'!$C$4,21)</f>
        <v/>
      </c>
    </row>
    <row r="24">
      <c r="J24">
        <f>EXPENSES!L31&amp;" - "&amp;EXPENSES!B31</f>
        <v/>
      </c>
      <c r="L24" s="44">
        <f>EDATE('SUPPORT PLAN'!$C$4,22)</f>
        <v/>
      </c>
    </row>
    <row r="25">
      <c r="J25">
        <f>EXPENSES!L32&amp;" - "&amp;EXPENSES!B32</f>
        <v/>
      </c>
      <c r="L25" s="44">
        <f>EDATE('SUPPORT PLAN'!$C$4,23)</f>
        <v/>
      </c>
    </row>
    <row r="26">
      <c r="J26">
        <f>EXPENSES!L33&amp;" - "&amp;EXPENSES!B33</f>
        <v/>
      </c>
    </row>
    <row r="27">
      <c r="J27">
        <f>EXPENSES!L34&amp;" - "&amp;EXPENSES!B34</f>
        <v/>
      </c>
    </row>
    <row r="28">
      <c r="J28">
        <f>EXPENSES!L35&amp;" - "&amp;EXPENSES!B35</f>
        <v/>
      </c>
    </row>
    <row r="29">
      <c r="J29">
        <f>EXPENSES!L36&amp;" - "&amp;EXPENSES!B36</f>
        <v/>
      </c>
    </row>
    <row r="30">
      <c r="J30">
        <f>EXPENSES!L38&amp;" - "&amp;EXPENSES!B38</f>
        <v/>
      </c>
    </row>
    <row r="31">
      <c r="J31">
        <f>EXPENSES!L39&amp;" - "&amp;EXPENSES!B39</f>
        <v/>
      </c>
    </row>
    <row r="32">
      <c r="J32">
        <f>EXPENSES!L40&amp;" - "&amp;EXPENSES!B40</f>
        <v/>
      </c>
    </row>
    <row r="33">
      <c r="J33">
        <f>EXPENSES!L41&amp;" - "&amp;EXPENSES!B41</f>
        <v/>
      </c>
    </row>
    <row r="34">
      <c r="J34">
        <f>EXPENSES!L42&amp;" - "&amp;EXPENSES!B42</f>
        <v/>
      </c>
    </row>
    <row r="35">
      <c r="J35">
        <f>EXPENSES!L43&amp;" - "&amp;EXPENSES!B43</f>
        <v/>
      </c>
    </row>
    <row r="36">
      <c r="J36">
        <f>EXPENSES!L44&amp;" - "&amp;EXPENSES!B44</f>
        <v/>
      </c>
    </row>
    <row r="37">
      <c r="J37">
        <f>EXPENSES!L46&amp;" - "&amp;EXPENSES!B46</f>
        <v/>
      </c>
    </row>
    <row r="38">
      <c r="J38">
        <f>EXPENSES!L47&amp;" - "&amp;EXPENSES!B47</f>
        <v/>
      </c>
    </row>
    <row r="39">
      <c r="J39">
        <f>EXPENSES!L48&amp;" - "&amp;EXPENSES!B48</f>
        <v/>
      </c>
    </row>
    <row r="40">
      <c r="J40">
        <f>EXPENSES!L49&amp;" - "&amp;EXPENSES!B49</f>
        <v/>
      </c>
    </row>
    <row r="41">
      <c r="J41">
        <f>EXPENSES!L50&amp;" - "&amp;EXPENSES!B50</f>
        <v/>
      </c>
    </row>
    <row r="42">
      <c r="J42">
        <f>EXPENSES!L52&amp;" - "&amp;EXPENSES!B52</f>
        <v/>
      </c>
    </row>
    <row r="43">
      <c r="J43">
        <f>EXPENSES!L53&amp;" - "&amp;EXPENSES!B53</f>
        <v/>
      </c>
    </row>
    <row r="44">
      <c r="J44">
        <f>EXPENSES!L54&amp;" - "&amp;EXPENSES!B54</f>
        <v/>
      </c>
    </row>
    <row r="45">
      <c r="J45">
        <f>EXPENSES!L55&amp;" - "&amp;EXPENSES!B55</f>
        <v/>
      </c>
    </row>
    <row r="46">
      <c r="J46">
        <f>EXPENSES!L56&amp;" - "&amp;EXPENSES!B56</f>
        <v/>
      </c>
    </row>
    <row r="47">
      <c r="J47">
        <f>EXPENSES!L57&amp;" - "&amp;EXPENSES!B57</f>
        <v/>
      </c>
    </row>
    <row r="48">
      <c r="J48">
        <f>EXPENSES!L58&amp;" - "&amp;EXPENSES!B58</f>
        <v/>
      </c>
    </row>
    <row r="49">
      <c r="J49">
        <f>EXPENSES!L59&amp;" - "&amp;EXPENSES!B59</f>
        <v/>
      </c>
    </row>
    <row r="50">
      <c r="J50">
        <f>EXPENSES!L60&amp;" - "&amp;EXPENSES!B60</f>
        <v/>
      </c>
    </row>
    <row r="51">
      <c r="J51">
        <f>EXPENSES!L62&amp;" - "&amp;EXPENSES!B62</f>
        <v/>
      </c>
    </row>
    <row r="52">
      <c r="J52">
        <f>EXPENSES!L63&amp;" - "&amp;EXPENSES!B63</f>
        <v/>
      </c>
    </row>
    <row r="53">
      <c r="J53">
        <f>EXPENSES!L64&amp;" - "&amp;EXPENSES!B64</f>
        <v/>
      </c>
    </row>
    <row r="54">
      <c r="J54">
        <f>EXPENSES!L65&amp;" - "&amp;EXPENSES!B65</f>
        <v/>
      </c>
    </row>
    <row r="55">
      <c r="J55">
        <f>EXPENSES!L66&amp;" - "&amp;EXPENSES!B66</f>
        <v/>
      </c>
    </row>
    <row r="56">
      <c r="J56">
        <f>EXPENSES!L67&amp;" - "&amp;EXPENSES!B67</f>
        <v/>
      </c>
    </row>
    <row r="57">
      <c r="J57">
        <f>EXPENSES!L68&amp;" - "&amp;EXPENSES!B68</f>
        <v/>
      </c>
    </row>
    <row r="58">
      <c r="J58">
        <f>EXPENSES!L69&amp;" - "&amp;EXPENSES!B69</f>
        <v/>
      </c>
    </row>
    <row r="59">
      <c r="J59">
        <f>EXPENSES!L70&amp;" - "&amp;EXPENSES!B70</f>
        <v/>
      </c>
    </row>
    <row r="60">
      <c r="J60">
        <f>EXPENSES!L72&amp;" - "&amp;EXPENSES!B72</f>
        <v/>
      </c>
    </row>
    <row r="61">
      <c r="J61">
        <f>EXPENSES!L73&amp;" - "&amp;EXPENSES!B73</f>
        <v/>
      </c>
    </row>
    <row r="62">
      <c r="J62">
        <f>EXPENSES!L74&amp;" - "&amp;EXPENSES!B74</f>
        <v/>
      </c>
    </row>
    <row r="63">
      <c r="J63">
        <f>EXPENSES!L75&amp;" - "&amp;EXPENSES!B75</f>
        <v/>
      </c>
    </row>
    <row r="64">
      <c r="J64">
        <f>EXPENSES!L76&amp;" - "&amp;EXPENSES!B76</f>
        <v/>
      </c>
    </row>
    <row r="65">
      <c r="J65">
        <f>EXPENSES!L77&amp;" - "&amp;EXPENSES!B77</f>
        <v/>
      </c>
    </row>
    <row r="66">
      <c r="J66">
        <f>EXPENSES!L78&amp;" - "&amp;EXPENSES!B78</f>
        <v/>
      </c>
    </row>
    <row r="67">
      <c r="J67">
        <f>EXPENSES!L80&amp;" - "&amp;EXPENSES!B80</f>
        <v/>
      </c>
    </row>
    <row r="68">
      <c r="J68">
        <f>EXPENSES!L81&amp;" - "&amp;EXPENSES!B81</f>
        <v/>
      </c>
    </row>
    <row r="69">
      <c r="J69">
        <f>EXPENSES!L82&amp;" - "&amp;EXPENSES!B82</f>
        <v/>
      </c>
    </row>
    <row r="70">
      <c r="J70">
        <f>EXPENSES!L83&amp;" - "&amp;EXPENSES!B83</f>
        <v/>
      </c>
    </row>
    <row r="71">
      <c r="J71">
        <f>EXPENSES!L84&amp;" - "&amp;EXPENSES!B84</f>
        <v/>
      </c>
    </row>
    <row r="72">
      <c r="J72">
        <f>EXPENSES!L85&amp;" - "&amp;EXPENSES!B85</f>
        <v/>
      </c>
    </row>
    <row r="73">
      <c r="J73">
        <f>EXPENSES!L87&amp;" - "&amp;EXPENSES!B87</f>
        <v/>
      </c>
    </row>
    <row r="74">
      <c r="J74">
        <f>EXPENSES!L89&amp;" - "&amp;EXPENSES!B89</f>
        <v/>
      </c>
    </row>
    <row r="75">
      <c r="J75">
        <f>EXPENSES!L90&amp;" - "&amp;EXPENSES!B90</f>
        <v/>
      </c>
    </row>
    <row r="76">
      <c r="J76">
        <f>EXPENSES!L91&amp;" - "&amp;EXPENSES!B91</f>
        <v/>
      </c>
    </row>
    <row r="77">
      <c r="J77">
        <f>EXPENSES!L92&amp;" - "&amp;EXPENSES!B92</f>
        <v/>
      </c>
    </row>
    <row r="78">
      <c r="J78">
        <f>EXPENSES!L93&amp;" - "&amp;EXPENSES!B93</f>
        <v/>
      </c>
    </row>
    <row r="79">
      <c r="J79">
        <f>EXPENSES!L95&amp;" - "&amp;EXPENSES!B95</f>
        <v/>
      </c>
    </row>
    <row r="80">
      <c r="J80">
        <f>EXPENSES!L96&amp;" - "&amp;EXPENSES!B96</f>
        <v/>
      </c>
    </row>
    <row r="81">
      <c r="J81">
        <f>EXPENSES!L97&amp;" - "&amp;EXPENSES!B97</f>
        <v/>
      </c>
    </row>
    <row r="82">
      <c r="J82">
        <f>EXPENSES!L98&amp;" - "&amp;EXPENSES!B98</f>
        <v/>
      </c>
    </row>
    <row r="83">
      <c r="J83">
        <f>EXPENSES!L100&amp;" - "&amp;EXPENSES!B100</f>
        <v/>
      </c>
    </row>
    <row r="84">
      <c r="J84">
        <f>EXPENSES!L101&amp;" - "&amp;EXPENSES!B101</f>
        <v/>
      </c>
    </row>
    <row r="85">
      <c r="J85">
        <f>EXPENSES!L102&amp;" - "&amp;EXPENSES!B102</f>
        <v/>
      </c>
    </row>
    <row r="86">
      <c r="J86">
        <f>EXPENSES!L103&amp;" - "&amp;EXPENSES!B103</f>
        <v/>
      </c>
    </row>
    <row r="87">
      <c r="J87">
        <f>EXPENSES!L104&amp;" - "&amp;EXPENSES!B104</f>
        <v/>
      </c>
    </row>
    <row r="88">
      <c r="J88">
        <f>EXPENSES!L105&amp;" - "&amp;EXPENSES!B105</f>
        <v/>
      </c>
    </row>
    <row r="89">
      <c r="J89">
        <f>EXPENSES!L107&amp;" - "&amp;EXPENSES!B107</f>
        <v/>
      </c>
    </row>
    <row r="90">
      <c r="J90">
        <f>EXPENSES!L108&amp;" - "&amp;EXPENSES!B108</f>
        <v/>
      </c>
    </row>
    <row r="91">
      <c r="J91">
        <f>EXPENSES!L109&amp;" - "&amp;EXPENSES!B109</f>
        <v/>
      </c>
    </row>
    <row r="92">
      <c r="J92">
        <f>EXPENSES!L110&amp;" - "&amp;EXPENSES!B110</f>
        <v/>
      </c>
    </row>
    <row r="93">
      <c r="J93">
        <f>EXPENSES!L111&amp;" - "&amp;EXPENSES!B111</f>
        <v/>
      </c>
    </row>
    <row r="94">
      <c r="J94">
        <f>EXPENSES!L112&amp;" - "&amp;EXPENSES!B112</f>
        <v/>
      </c>
    </row>
    <row r="95">
      <c r="J95">
        <f>EXPENSES!L113&amp;" - "&amp;EXPENSES!B113</f>
        <v/>
      </c>
    </row>
    <row r="96">
      <c r="J96">
        <f>EXPENSES!L115&amp;" - "&amp;EXPENSES!B115</f>
        <v/>
      </c>
    </row>
    <row r="97">
      <c r="J97">
        <f>EXPENSES!L116&amp;" - "&amp;EXPENSES!B116</f>
        <v/>
      </c>
    </row>
    <row r="98">
      <c r="J98">
        <f>EXPENSES!L117&amp;" - "&amp;EXPENSES!B117</f>
        <v/>
      </c>
    </row>
    <row r="99">
      <c r="J99">
        <f>EXPENSES!L118&amp;" - "&amp;EXPENSES!B118</f>
        <v/>
      </c>
    </row>
    <row r="100">
      <c r="J100">
        <f>EXPENSES!L119&amp;" - "&amp;EXPENSES!B119</f>
        <v/>
      </c>
    </row>
    <row r="101">
      <c r="J101">
        <f>EXPENSES!L121&amp;" - "&amp;EXPENSES!B121</f>
        <v/>
      </c>
    </row>
    <row r="102">
      <c r="J102">
        <f>EXPENSES!L122&amp;" - "&amp;EXPENSES!B122</f>
        <v/>
      </c>
    </row>
    <row r="103">
      <c r="J103">
        <f>EXPENSES!L123&amp;" - "&amp;EXPENSES!B123</f>
        <v/>
      </c>
    </row>
    <row r="104">
      <c r="J104">
        <f>EXPENSES!L124&amp;" - "&amp;EXPENSES!B124</f>
        <v/>
      </c>
    </row>
    <row r="105">
      <c r="J105">
        <f>EXPENSES!L125&amp;" - "&amp;EXPENSES!B125</f>
        <v/>
      </c>
    </row>
    <row r="106">
      <c r="J106">
        <f>EXPENSES!L126&amp;" - "&amp;EXPENSES!B126</f>
        <v/>
      </c>
    </row>
  </sheetData>
  <pageMargins left="0.75" right="0.75" top="1" bottom="1" header="0.511811023622047" footer="0.511811023622047"/>
  <pageSetup orientation="portrait" fitToHeight="0"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2026-10-26T18:57:47Z</dcterms:created>
  <dcterms:modified xmlns:dcterms="http://purl.org/dc/terms/" xmlns:xsi="http://www.w3.org/2001/XMLSchema-instance" xsi:type="dcterms:W3CDTF">2026-10-29T00:54:03Z</dcterms:modified>
  <cp:lastModifiedBy>Jason Bos</cp:lastModifiedBy>
  <cp:revision>0</cp:revision>
</cp:coreProperties>
</file>